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akeq\Documents\University of Montana\finance capstone\final_excel\"/>
    </mc:Choice>
  </mc:AlternateContent>
  <xr:revisionPtr revIDLastSave="0" documentId="13_ncr:1_{E86D6B6C-7008-43F9-A9FD-3662F4DF2F2A}" xr6:coauthVersionLast="47" xr6:coauthVersionMax="47" xr10:uidLastSave="{00000000-0000-0000-0000-000000000000}"/>
  <bookViews>
    <workbookView xWindow="1920" yWindow="1920" windowWidth="17280" windowHeight="9960" xr2:uid="{00000000-000D-0000-FFFF-FFFF00000000}"/>
  </bookViews>
  <sheets>
    <sheet name="data" sheetId="1" r:id="rId1"/>
    <sheet name="beta_summary" sheetId="2" r:id="rId2"/>
    <sheet name="wacc_summary" sheetId="3" r:id="rId3"/>
    <sheet name="crypto_cash_flows" sheetId="4" r:id="rId4"/>
    <sheet name="crypto_summa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4" l="1"/>
  <c r="C8" i="4"/>
  <c r="C3" i="4"/>
  <c r="C4" i="4"/>
  <c r="C5" i="4"/>
  <c r="C6" i="4"/>
  <c r="C7" i="4"/>
  <c r="C2" i="4"/>
  <c r="L42" i="1"/>
  <c r="L52" i="1"/>
  <c r="L51" i="1"/>
  <c r="L53" i="1" s="1"/>
  <c r="L44" i="1"/>
  <c r="L45" i="1" s="1"/>
  <c r="L43" i="1"/>
  <c r="L40" i="1"/>
  <c r="L47" i="1" l="1"/>
  <c r="L54" i="1" s="1"/>
</calcChain>
</file>

<file path=xl/sharedStrings.xml><?xml version="1.0" encoding="utf-8"?>
<sst xmlns="http://schemas.openxmlformats.org/spreadsheetml/2006/main" count="63" uniqueCount="60">
  <si>
    <t>PFE</t>
  </si>
  <si>
    <t>^GSPC</t>
  </si>
  <si>
    <t>GS1</t>
  </si>
  <si>
    <t>stock_ret</t>
  </si>
  <si>
    <t>mkt_ret</t>
  </si>
  <si>
    <t>rf_monthly</t>
  </si>
  <si>
    <t>excess_stock</t>
  </si>
  <si>
    <t>excess_mkt</t>
  </si>
  <si>
    <t>alpha_normal</t>
  </si>
  <si>
    <t>beta_normal</t>
  </si>
  <si>
    <t>beta_zero</t>
  </si>
  <si>
    <t>alpha_excess</t>
  </si>
  <si>
    <t>beta_excess</t>
  </si>
  <si>
    <t>beta_excess_zero</t>
  </si>
  <si>
    <t>avg_monthly_rf</t>
  </si>
  <si>
    <t>avg_monthly_market_ret</t>
  </si>
  <si>
    <t>avg_annual_rf</t>
  </si>
  <si>
    <t>avg_annual_market_ret</t>
  </si>
  <si>
    <t>cost_of_capital_normal</t>
  </si>
  <si>
    <t>cost_of_capital_zero</t>
  </si>
  <si>
    <t>cost_of_capital_excess</t>
  </si>
  <si>
    <t>cost_of_capital_excess_zero</t>
  </si>
  <si>
    <t>D_over_E</t>
  </si>
  <si>
    <t>weight_debt</t>
  </si>
  <si>
    <t>weight_equity</t>
  </si>
  <si>
    <t>weight_check</t>
  </si>
  <si>
    <t>cost_of_equity</t>
  </si>
  <si>
    <t>cost_of_debt</t>
  </si>
  <si>
    <t>tax_rate</t>
  </si>
  <si>
    <t>WACC</t>
  </si>
  <si>
    <t>t</t>
  </si>
  <si>
    <t>cash_flow</t>
  </si>
  <si>
    <t>NPV</t>
  </si>
  <si>
    <t>IRR</t>
  </si>
  <si>
    <t>initial_investment</t>
  </si>
  <si>
    <t>annual_interest_rate</t>
  </si>
  <si>
    <t>years</t>
  </si>
  <si>
    <t>terminal_value</t>
  </si>
  <si>
    <t>simple returns</t>
  </si>
  <si>
    <t>excess returns</t>
  </si>
  <si>
    <t>beta</t>
  </si>
  <si>
    <t>covar method</t>
  </si>
  <si>
    <t>avg risk free_m</t>
  </si>
  <si>
    <t>arf *12</t>
  </si>
  <si>
    <t>avg market_M</t>
  </si>
  <si>
    <t>AM *12</t>
  </si>
  <si>
    <t>CoC_annual</t>
  </si>
  <si>
    <t>D/E</t>
  </si>
  <si>
    <t>bond</t>
  </si>
  <si>
    <t>W_D</t>
  </si>
  <si>
    <t>w_e</t>
  </si>
  <si>
    <t>weight check</t>
  </si>
  <si>
    <t>tax</t>
  </si>
  <si>
    <t>matches top left estimate on graph</t>
  </si>
  <si>
    <t>interest rate</t>
  </si>
  <si>
    <t xml:space="preserve">years </t>
  </si>
  <si>
    <t>terminal value</t>
  </si>
  <si>
    <t>npv</t>
  </si>
  <si>
    <t>irr</t>
  </si>
  <si>
    <t>NPV is positive and IRR is greater than WACC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</si>
</sst>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yyyy\-mm\-dd\ hh:mm:ss"/>
    <numFmt numFmtId="165" formatCode="0.0000%"/>
    <numFmt numFmtId="166" formatCode="0.000000"/>
    <numFmt numFmtId="167" formatCode="0.0000"/>
    <numFmt numFmtId="168" formatCode="0.000%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3" fillId="0" borderId="0" xfId="0" applyFont="1"/>
    <xf numFmtId="165" fontId="0" fillId="0" borderId="0" xfId="0" applyNumberFormat="1"/>
    <xf numFmtId="10" fontId="0" fillId="0" borderId="0" xfId="2" applyNumberFormat="1" applyFont="1"/>
    <xf numFmtId="10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44" fontId="0" fillId="0" borderId="0" xfId="1" applyFont="1"/>
    <xf numFmtId="168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unconditional beta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data!$F$1</c:f>
              <c:strCache>
                <c:ptCount val="1"/>
                <c:pt idx="0">
                  <c:v>stock_ret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46276071741032371"/>
                  <c:y val="-0.5461136628754739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data!$E$2:$E$60</c:f>
              <c:numCache>
                <c:formatCode>General</c:formatCode>
                <c:ptCount val="59"/>
                <c:pt idx="0">
                  <c:v>-1.113666075544517E-2</c:v>
                </c:pt>
                <c:pt idx="1">
                  <c:v>2.609145137744839E-2</c:v>
                </c:pt>
                <c:pt idx="2">
                  <c:v>4.2438632533165148E-2</c:v>
                </c:pt>
                <c:pt idx="3">
                  <c:v>5.2425321347558507E-2</c:v>
                </c:pt>
                <c:pt idx="4">
                  <c:v>5.4864886706069704E-3</c:v>
                </c:pt>
                <c:pt idx="5">
                  <c:v>2.221400956583475E-2</c:v>
                </c:pt>
                <c:pt idx="6">
                  <c:v>2.2748054828388709E-2</c:v>
                </c:pt>
                <c:pt idx="7">
                  <c:v>2.899041625543863E-2</c:v>
                </c:pt>
                <c:pt idx="8">
                  <c:v>-4.7569168801901103E-2</c:v>
                </c:pt>
                <c:pt idx="9">
                  <c:v>6.9143836400606506E-2</c:v>
                </c:pt>
                <c:pt idx="10">
                  <c:v>-8.3337061847461591E-3</c:v>
                </c:pt>
                <c:pt idx="11">
                  <c:v>4.3612913462064862E-2</c:v>
                </c:pt>
                <c:pt idx="12">
                  <c:v>-5.2585165027393847E-2</c:v>
                </c:pt>
                <c:pt idx="13">
                  <c:v>-3.1360491945908293E-2</c:v>
                </c:pt>
                <c:pt idx="14">
                  <c:v>3.5773288371546252E-2</c:v>
                </c:pt>
                <c:pt idx="15">
                  <c:v>-8.7956711804343057E-2</c:v>
                </c:pt>
                <c:pt idx="16">
                  <c:v>5.3177704644635782E-5</c:v>
                </c:pt>
                <c:pt idx="17">
                  <c:v>-8.3919999933826817E-2</c:v>
                </c:pt>
                <c:pt idx="18">
                  <c:v>9.1116391730210022E-2</c:v>
                </c:pt>
                <c:pt idx="19">
                  <c:v>-4.2440128272998368E-2</c:v>
                </c:pt>
                <c:pt idx="20">
                  <c:v>-9.3395672013274367E-2</c:v>
                </c:pt>
                <c:pt idx="21">
                  <c:v>7.9863413837008901E-2</c:v>
                </c:pt>
                <c:pt idx="22">
                  <c:v>5.3752893352493107E-2</c:v>
                </c:pt>
                <c:pt idx="23">
                  <c:v>-5.8971474074730468E-2</c:v>
                </c:pt>
                <c:pt idx="24">
                  <c:v>6.1752857834679098E-2</c:v>
                </c:pt>
                <c:pt idx="25">
                  <c:v>-2.6112493931818581E-2</c:v>
                </c:pt>
                <c:pt idx="26">
                  <c:v>3.5051612577108981E-2</c:v>
                </c:pt>
                <c:pt idx="27">
                  <c:v>1.4642341662481019E-2</c:v>
                </c:pt>
                <c:pt idx="28">
                  <c:v>2.482347368192972E-3</c:v>
                </c:pt>
                <c:pt idx="29">
                  <c:v>6.4727464904234644E-2</c:v>
                </c:pt>
                <c:pt idx="30">
                  <c:v>3.1138932355010859E-2</c:v>
                </c:pt>
                <c:pt idx="31">
                  <c:v>-1.7716390070854019E-2</c:v>
                </c:pt>
                <c:pt idx="32">
                  <c:v>-4.8719367465624892E-2</c:v>
                </c:pt>
                <c:pt idx="33">
                  <c:v>-2.197968873798295E-2</c:v>
                </c:pt>
                <c:pt idx="34">
                  <c:v>8.9179268781970134E-2</c:v>
                </c:pt>
                <c:pt idx="35">
                  <c:v>4.4229231156360127E-2</c:v>
                </c:pt>
                <c:pt idx="36">
                  <c:v>1.5895707598991619E-2</c:v>
                </c:pt>
                <c:pt idx="37">
                  <c:v>5.1720640623723169E-2</c:v>
                </c:pt>
                <c:pt idx="38">
                  <c:v>3.1018779915342961E-2</c:v>
                </c:pt>
                <c:pt idx="39">
                  <c:v>-4.161507173789869E-2</c:v>
                </c:pt>
                <c:pt idx="40">
                  <c:v>4.80211901511991E-2</c:v>
                </c:pt>
                <c:pt idx="41">
                  <c:v>3.4669801283083279E-2</c:v>
                </c:pt>
                <c:pt idx="42">
                  <c:v>1.132131688786875E-2</c:v>
                </c:pt>
                <c:pt idx="43">
                  <c:v>2.283470693663037E-2</c:v>
                </c:pt>
                <c:pt idx="44">
                  <c:v>2.0196884090601271E-2</c:v>
                </c:pt>
                <c:pt idx="45">
                  <c:v>-9.8967433031517116E-3</c:v>
                </c:pt>
                <c:pt idx="46">
                  <c:v>5.7301295482098842E-2</c:v>
                </c:pt>
                <c:pt idx="47">
                  <c:v>-2.4990137048483629E-2</c:v>
                </c:pt>
                <c:pt idx="48">
                  <c:v>2.70163042404441E-2</c:v>
                </c:pt>
                <c:pt idx="49">
                  <c:v>-1.424209269982513E-2</c:v>
                </c:pt>
                <c:pt idx="50">
                  <c:v>-5.7544697681375379E-2</c:v>
                </c:pt>
                <c:pt idx="51">
                  <c:v>-7.6249433462898253E-3</c:v>
                </c:pt>
                <c:pt idx="52">
                  <c:v>6.1523826140782889E-2</c:v>
                </c:pt>
                <c:pt idx="53">
                  <c:v>4.9606839467715817E-2</c:v>
                </c:pt>
                <c:pt idx="54">
                  <c:v>2.1666562530640698E-2</c:v>
                </c:pt>
                <c:pt idx="55">
                  <c:v>1.9066444295036119E-2</c:v>
                </c:pt>
                <c:pt idx="56">
                  <c:v>3.5323687218701487E-2</c:v>
                </c:pt>
                <c:pt idx="57">
                  <c:v>2.26868719049238E-2</c:v>
                </c:pt>
                <c:pt idx="58">
                  <c:v>1.2996181666717901E-3</c:v>
                </c:pt>
              </c:numCache>
            </c:numRef>
          </c:xVal>
          <c:yVal>
            <c:numRef>
              <c:f>data!$F$2:$F$60</c:f>
              <c:numCache>
                <c:formatCode>General</c:formatCode>
                <c:ptCount val="59"/>
                <c:pt idx="0">
                  <c:v>-1.411181356765312E-2</c:v>
                </c:pt>
                <c:pt idx="1">
                  <c:v>-6.7130863691401976E-2</c:v>
                </c:pt>
                <c:pt idx="2">
                  <c:v>8.1815334491821323E-2</c:v>
                </c:pt>
                <c:pt idx="3">
                  <c:v>6.6795301819382535E-2</c:v>
                </c:pt>
                <c:pt idx="4">
                  <c:v>1.194389031261256E-2</c:v>
                </c:pt>
                <c:pt idx="5">
                  <c:v>1.110258743506165E-2</c:v>
                </c:pt>
                <c:pt idx="6">
                  <c:v>0.10310892161762709</c:v>
                </c:pt>
                <c:pt idx="7">
                  <c:v>7.615004993377128E-2</c:v>
                </c:pt>
                <c:pt idx="8">
                  <c:v>-6.6420764144396127E-2</c:v>
                </c:pt>
                <c:pt idx="9">
                  <c:v>1.6973266078488921E-2</c:v>
                </c:pt>
                <c:pt idx="10">
                  <c:v>0.2391771251439663</c:v>
                </c:pt>
                <c:pt idx="11">
                  <c:v>9.9013864562176312E-2</c:v>
                </c:pt>
                <c:pt idx="12">
                  <c:v>-0.1009210379326148</c:v>
                </c:pt>
                <c:pt idx="13">
                  <c:v>-0.1091287702527914</c:v>
                </c:pt>
                <c:pt idx="14">
                  <c:v>0.1028971777093359</c:v>
                </c:pt>
                <c:pt idx="15">
                  <c:v>-5.215362495971787E-2</c:v>
                </c:pt>
                <c:pt idx="16">
                  <c:v>8.9719277249427742E-2</c:v>
                </c:pt>
                <c:pt idx="17">
                  <c:v>-1.150056664581767E-2</c:v>
                </c:pt>
                <c:pt idx="18">
                  <c:v>-2.914503516093736E-2</c:v>
                </c:pt>
                <c:pt idx="19">
                  <c:v>-0.1045338970841805</c:v>
                </c:pt>
                <c:pt idx="20">
                  <c:v>-3.2500409800401919E-2</c:v>
                </c:pt>
                <c:pt idx="21">
                  <c:v>6.3757005449784243E-2</c:v>
                </c:pt>
                <c:pt idx="22">
                  <c:v>8.6136403990606514E-2</c:v>
                </c:pt>
                <c:pt idx="23">
                  <c:v>2.214248704944621E-2</c:v>
                </c:pt>
                <c:pt idx="24">
                  <c:v>-0.13026135888340981</c:v>
                </c:pt>
                <c:pt idx="25">
                  <c:v>-8.1295316301919884E-2</c:v>
                </c:pt>
                <c:pt idx="26">
                  <c:v>5.6691474843941769E-3</c:v>
                </c:pt>
                <c:pt idx="27">
                  <c:v>-4.6813656124722443E-2</c:v>
                </c:pt>
                <c:pt idx="28">
                  <c:v>-1.1792137603727991E-2</c:v>
                </c:pt>
                <c:pt idx="29">
                  <c:v>-3.5244622225820588E-2</c:v>
                </c:pt>
                <c:pt idx="30">
                  <c:v>-5.9499103699399702E-3</c:v>
                </c:pt>
                <c:pt idx="31">
                  <c:v>-1.8857352033448741E-2</c:v>
                </c:pt>
                <c:pt idx="32">
                  <c:v>-6.2464880598074653E-2</c:v>
                </c:pt>
                <c:pt idx="33">
                  <c:v>-7.8685634591079134E-2</c:v>
                </c:pt>
                <c:pt idx="34">
                  <c:v>1.049783753097833E-2</c:v>
                </c:pt>
                <c:pt idx="35">
                  <c:v>-5.5136211673271429E-2</c:v>
                </c:pt>
                <c:pt idx="36">
                  <c:v>-4.5240995472425112E-2</c:v>
                </c:pt>
                <c:pt idx="37">
                  <c:v>-1.9202406287843529E-2</c:v>
                </c:pt>
                <c:pt idx="38">
                  <c:v>4.4804205955678578E-2</c:v>
                </c:pt>
                <c:pt idx="39">
                  <c:v>-7.6756768002256059E-2</c:v>
                </c:pt>
                <c:pt idx="40">
                  <c:v>0.13552750737919189</c:v>
                </c:pt>
                <c:pt idx="41">
                  <c:v>-2.372648206725703E-2</c:v>
                </c:pt>
                <c:pt idx="42">
                  <c:v>0.10689814722104241</c:v>
                </c:pt>
                <c:pt idx="43">
                  <c:v>-5.0098177175965992E-2</c:v>
                </c:pt>
                <c:pt idx="44">
                  <c:v>-2.4130027345597989E-3</c:v>
                </c:pt>
                <c:pt idx="45">
                  <c:v>-2.2114713463958768E-2</c:v>
                </c:pt>
                <c:pt idx="46">
                  <c:v>-5.9466199257122931E-2</c:v>
                </c:pt>
                <c:pt idx="47">
                  <c:v>1.220908300462753E-2</c:v>
                </c:pt>
                <c:pt idx="48">
                  <c:v>1.6149062289383401E-2</c:v>
                </c:pt>
                <c:pt idx="49">
                  <c:v>-3.3936978583133381E-3</c:v>
                </c:pt>
                <c:pt idx="50">
                  <c:v>-4.1241032088183638E-2</c:v>
                </c:pt>
                <c:pt idx="51">
                  <c:v>-3.6700906108358522E-2</c:v>
                </c:pt>
                <c:pt idx="52">
                  <c:v>-1.933133261653075E-2</c:v>
                </c:pt>
                <c:pt idx="53">
                  <c:v>3.1928538065185703E-2</c:v>
                </c:pt>
                <c:pt idx="54">
                  <c:v>-2.2612384844524991E-2</c:v>
                </c:pt>
                <c:pt idx="55">
                  <c:v>6.3117193500962676E-2</c:v>
                </c:pt>
                <c:pt idx="56">
                  <c:v>2.9079128655399741E-2</c:v>
                </c:pt>
                <c:pt idx="57">
                  <c:v>-3.2574558572678991E-2</c:v>
                </c:pt>
                <c:pt idx="58">
                  <c:v>6.2606190359580705E-2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D9-4E7F-8399-9EBDA7E90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0415231"/>
        <c:axId val="1425613071"/>
      </c:scatterChart>
      <c:valAx>
        <c:axId val="102041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613071"/>
        <c:crosses val="autoZero"/>
        <c:crossBetween val="midCat"/>
      </c:valAx>
      <c:valAx>
        <c:axId val="142561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415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</a:t>
            </a:r>
            <a:r>
              <a:rPr lang="en-US" baseline="0"/>
              <a:t> intercept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data!$F$1</c:f>
              <c:strCache>
                <c:ptCount val="1"/>
                <c:pt idx="0">
                  <c:v>stock_ret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-0.5596911636045494"/>
                  <c:y val="-0.537302055993000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data!$E$2:$E$60</c:f>
              <c:numCache>
                <c:formatCode>General</c:formatCode>
                <c:ptCount val="59"/>
                <c:pt idx="0">
                  <c:v>-1.113666075544517E-2</c:v>
                </c:pt>
                <c:pt idx="1">
                  <c:v>2.609145137744839E-2</c:v>
                </c:pt>
                <c:pt idx="2">
                  <c:v>4.2438632533165148E-2</c:v>
                </c:pt>
                <c:pt idx="3">
                  <c:v>5.2425321347558507E-2</c:v>
                </c:pt>
                <c:pt idx="4">
                  <c:v>5.4864886706069704E-3</c:v>
                </c:pt>
                <c:pt idx="5">
                  <c:v>2.221400956583475E-2</c:v>
                </c:pt>
                <c:pt idx="6">
                  <c:v>2.2748054828388709E-2</c:v>
                </c:pt>
                <c:pt idx="7">
                  <c:v>2.899041625543863E-2</c:v>
                </c:pt>
                <c:pt idx="8">
                  <c:v>-4.7569168801901103E-2</c:v>
                </c:pt>
                <c:pt idx="9">
                  <c:v>6.9143836400606506E-2</c:v>
                </c:pt>
                <c:pt idx="10">
                  <c:v>-8.3337061847461591E-3</c:v>
                </c:pt>
                <c:pt idx="11">
                  <c:v>4.3612913462064862E-2</c:v>
                </c:pt>
                <c:pt idx="12">
                  <c:v>-5.2585165027393847E-2</c:v>
                </c:pt>
                <c:pt idx="13">
                  <c:v>-3.1360491945908293E-2</c:v>
                </c:pt>
                <c:pt idx="14">
                  <c:v>3.5773288371546252E-2</c:v>
                </c:pt>
                <c:pt idx="15">
                  <c:v>-8.7956711804343057E-2</c:v>
                </c:pt>
                <c:pt idx="16">
                  <c:v>5.3177704644635782E-5</c:v>
                </c:pt>
                <c:pt idx="17">
                  <c:v>-8.3919999933826817E-2</c:v>
                </c:pt>
                <c:pt idx="18">
                  <c:v>9.1116391730210022E-2</c:v>
                </c:pt>
                <c:pt idx="19">
                  <c:v>-4.2440128272998368E-2</c:v>
                </c:pt>
                <c:pt idx="20">
                  <c:v>-9.3395672013274367E-2</c:v>
                </c:pt>
                <c:pt idx="21">
                  <c:v>7.9863413837008901E-2</c:v>
                </c:pt>
                <c:pt idx="22">
                  <c:v>5.3752893352493107E-2</c:v>
                </c:pt>
                <c:pt idx="23">
                  <c:v>-5.8971474074730468E-2</c:v>
                </c:pt>
                <c:pt idx="24">
                  <c:v>6.1752857834679098E-2</c:v>
                </c:pt>
                <c:pt idx="25">
                  <c:v>-2.6112493931818581E-2</c:v>
                </c:pt>
                <c:pt idx="26">
                  <c:v>3.5051612577108981E-2</c:v>
                </c:pt>
                <c:pt idx="27">
                  <c:v>1.4642341662481019E-2</c:v>
                </c:pt>
                <c:pt idx="28">
                  <c:v>2.482347368192972E-3</c:v>
                </c:pt>
                <c:pt idx="29">
                  <c:v>6.4727464904234644E-2</c:v>
                </c:pt>
                <c:pt idx="30">
                  <c:v>3.1138932355010859E-2</c:v>
                </c:pt>
                <c:pt idx="31">
                  <c:v>-1.7716390070854019E-2</c:v>
                </c:pt>
                <c:pt idx="32">
                  <c:v>-4.8719367465624892E-2</c:v>
                </c:pt>
                <c:pt idx="33">
                  <c:v>-2.197968873798295E-2</c:v>
                </c:pt>
                <c:pt idx="34">
                  <c:v>8.9179268781970134E-2</c:v>
                </c:pt>
                <c:pt idx="35">
                  <c:v>4.4229231156360127E-2</c:v>
                </c:pt>
                <c:pt idx="36">
                  <c:v>1.5895707598991619E-2</c:v>
                </c:pt>
                <c:pt idx="37">
                  <c:v>5.1720640623723169E-2</c:v>
                </c:pt>
                <c:pt idx="38">
                  <c:v>3.1018779915342961E-2</c:v>
                </c:pt>
                <c:pt idx="39">
                  <c:v>-4.161507173789869E-2</c:v>
                </c:pt>
                <c:pt idx="40">
                  <c:v>4.80211901511991E-2</c:v>
                </c:pt>
                <c:pt idx="41">
                  <c:v>3.4669801283083279E-2</c:v>
                </c:pt>
                <c:pt idx="42">
                  <c:v>1.132131688786875E-2</c:v>
                </c:pt>
                <c:pt idx="43">
                  <c:v>2.283470693663037E-2</c:v>
                </c:pt>
                <c:pt idx="44">
                  <c:v>2.0196884090601271E-2</c:v>
                </c:pt>
                <c:pt idx="45">
                  <c:v>-9.8967433031517116E-3</c:v>
                </c:pt>
                <c:pt idx="46">
                  <c:v>5.7301295482098842E-2</c:v>
                </c:pt>
                <c:pt idx="47">
                  <c:v>-2.4990137048483629E-2</c:v>
                </c:pt>
                <c:pt idx="48">
                  <c:v>2.70163042404441E-2</c:v>
                </c:pt>
                <c:pt idx="49">
                  <c:v>-1.424209269982513E-2</c:v>
                </c:pt>
                <c:pt idx="50">
                  <c:v>-5.7544697681375379E-2</c:v>
                </c:pt>
                <c:pt idx="51">
                  <c:v>-7.6249433462898253E-3</c:v>
                </c:pt>
                <c:pt idx="52">
                  <c:v>6.1523826140782889E-2</c:v>
                </c:pt>
                <c:pt idx="53">
                  <c:v>4.9606839467715817E-2</c:v>
                </c:pt>
                <c:pt idx="54">
                  <c:v>2.1666562530640698E-2</c:v>
                </c:pt>
                <c:pt idx="55">
                  <c:v>1.9066444295036119E-2</c:v>
                </c:pt>
                <c:pt idx="56">
                  <c:v>3.5323687218701487E-2</c:v>
                </c:pt>
                <c:pt idx="57">
                  <c:v>2.26868719049238E-2</c:v>
                </c:pt>
                <c:pt idx="58">
                  <c:v>1.2996181666717901E-3</c:v>
                </c:pt>
              </c:numCache>
            </c:numRef>
          </c:xVal>
          <c:yVal>
            <c:numRef>
              <c:f>data!$F$2:$F$60</c:f>
              <c:numCache>
                <c:formatCode>General</c:formatCode>
                <c:ptCount val="59"/>
                <c:pt idx="0">
                  <c:v>-1.411181356765312E-2</c:v>
                </c:pt>
                <c:pt idx="1">
                  <c:v>-6.7130863691401976E-2</c:v>
                </c:pt>
                <c:pt idx="2">
                  <c:v>8.1815334491821323E-2</c:v>
                </c:pt>
                <c:pt idx="3">
                  <c:v>6.6795301819382535E-2</c:v>
                </c:pt>
                <c:pt idx="4">
                  <c:v>1.194389031261256E-2</c:v>
                </c:pt>
                <c:pt idx="5">
                  <c:v>1.110258743506165E-2</c:v>
                </c:pt>
                <c:pt idx="6">
                  <c:v>0.10310892161762709</c:v>
                </c:pt>
                <c:pt idx="7">
                  <c:v>7.615004993377128E-2</c:v>
                </c:pt>
                <c:pt idx="8">
                  <c:v>-6.6420764144396127E-2</c:v>
                </c:pt>
                <c:pt idx="9">
                  <c:v>1.6973266078488921E-2</c:v>
                </c:pt>
                <c:pt idx="10">
                  <c:v>0.2391771251439663</c:v>
                </c:pt>
                <c:pt idx="11">
                  <c:v>9.9013864562176312E-2</c:v>
                </c:pt>
                <c:pt idx="12">
                  <c:v>-0.1009210379326148</c:v>
                </c:pt>
                <c:pt idx="13">
                  <c:v>-0.1091287702527914</c:v>
                </c:pt>
                <c:pt idx="14">
                  <c:v>0.1028971777093359</c:v>
                </c:pt>
                <c:pt idx="15">
                  <c:v>-5.215362495971787E-2</c:v>
                </c:pt>
                <c:pt idx="16">
                  <c:v>8.9719277249427742E-2</c:v>
                </c:pt>
                <c:pt idx="17">
                  <c:v>-1.150056664581767E-2</c:v>
                </c:pt>
                <c:pt idx="18">
                  <c:v>-2.914503516093736E-2</c:v>
                </c:pt>
                <c:pt idx="19">
                  <c:v>-0.1045338970841805</c:v>
                </c:pt>
                <c:pt idx="20">
                  <c:v>-3.2500409800401919E-2</c:v>
                </c:pt>
                <c:pt idx="21">
                  <c:v>6.3757005449784243E-2</c:v>
                </c:pt>
                <c:pt idx="22">
                  <c:v>8.6136403990606514E-2</c:v>
                </c:pt>
                <c:pt idx="23">
                  <c:v>2.214248704944621E-2</c:v>
                </c:pt>
                <c:pt idx="24">
                  <c:v>-0.13026135888340981</c:v>
                </c:pt>
                <c:pt idx="25">
                  <c:v>-8.1295316301919884E-2</c:v>
                </c:pt>
                <c:pt idx="26">
                  <c:v>5.6691474843941769E-3</c:v>
                </c:pt>
                <c:pt idx="27">
                  <c:v>-4.6813656124722443E-2</c:v>
                </c:pt>
                <c:pt idx="28">
                  <c:v>-1.1792137603727991E-2</c:v>
                </c:pt>
                <c:pt idx="29">
                  <c:v>-3.5244622225820588E-2</c:v>
                </c:pt>
                <c:pt idx="30">
                  <c:v>-5.9499103699399702E-3</c:v>
                </c:pt>
                <c:pt idx="31">
                  <c:v>-1.8857352033448741E-2</c:v>
                </c:pt>
                <c:pt idx="32">
                  <c:v>-6.2464880598074653E-2</c:v>
                </c:pt>
                <c:pt idx="33">
                  <c:v>-7.8685634591079134E-2</c:v>
                </c:pt>
                <c:pt idx="34">
                  <c:v>1.049783753097833E-2</c:v>
                </c:pt>
                <c:pt idx="35">
                  <c:v>-5.5136211673271429E-2</c:v>
                </c:pt>
                <c:pt idx="36">
                  <c:v>-4.5240995472425112E-2</c:v>
                </c:pt>
                <c:pt idx="37">
                  <c:v>-1.9202406287843529E-2</c:v>
                </c:pt>
                <c:pt idx="38">
                  <c:v>4.4804205955678578E-2</c:v>
                </c:pt>
                <c:pt idx="39">
                  <c:v>-7.6756768002256059E-2</c:v>
                </c:pt>
                <c:pt idx="40">
                  <c:v>0.13552750737919189</c:v>
                </c:pt>
                <c:pt idx="41">
                  <c:v>-2.372648206725703E-2</c:v>
                </c:pt>
                <c:pt idx="42">
                  <c:v>0.10689814722104241</c:v>
                </c:pt>
                <c:pt idx="43">
                  <c:v>-5.0098177175965992E-2</c:v>
                </c:pt>
                <c:pt idx="44">
                  <c:v>-2.4130027345597989E-3</c:v>
                </c:pt>
                <c:pt idx="45">
                  <c:v>-2.2114713463958768E-2</c:v>
                </c:pt>
                <c:pt idx="46">
                  <c:v>-5.9466199257122931E-2</c:v>
                </c:pt>
                <c:pt idx="47">
                  <c:v>1.220908300462753E-2</c:v>
                </c:pt>
                <c:pt idx="48">
                  <c:v>1.6149062289383401E-2</c:v>
                </c:pt>
                <c:pt idx="49">
                  <c:v>-3.3936978583133381E-3</c:v>
                </c:pt>
                <c:pt idx="50">
                  <c:v>-4.1241032088183638E-2</c:v>
                </c:pt>
                <c:pt idx="51">
                  <c:v>-3.6700906108358522E-2</c:v>
                </c:pt>
                <c:pt idx="52">
                  <c:v>-1.933133261653075E-2</c:v>
                </c:pt>
                <c:pt idx="53">
                  <c:v>3.1928538065185703E-2</c:v>
                </c:pt>
                <c:pt idx="54">
                  <c:v>-2.2612384844524991E-2</c:v>
                </c:pt>
                <c:pt idx="55">
                  <c:v>6.3117193500962676E-2</c:v>
                </c:pt>
                <c:pt idx="56">
                  <c:v>2.9079128655399741E-2</c:v>
                </c:pt>
                <c:pt idx="57">
                  <c:v>-3.2574558572678991E-2</c:v>
                </c:pt>
                <c:pt idx="58">
                  <c:v>6.2606190359580705E-2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58-4DC1-9C33-1B5700C75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1943199"/>
        <c:axId val="1461952319"/>
      </c:scatterChart>
      <c:valAx>
        <c:axId val="1461943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952319"/>
        <c:crosses val="autoZero"/>
        <c:crossBetween val="midCat"/>
      </c:valAx>
      <c:valAx>
        <c:axId val="1461952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943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unconditional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data!$I$1</c:f>
              <c:strCache>
                <c:ptCount val="1"/>
                <c:pt idx="0">
                  <c:v>excess_stock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62524453193350826"/>
                  <c:y val="-0.4844422572178477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data!$H$2:$H$60</c:f>
              <c:numCache>
                <c:formatCode>General</c:formatCode>
                <c:ptCount val="59"/>
                <c:pt idx="0">
                  <c:v>-1.1219994088778501E-2</c:v>
                </c:pt>
                <c:pt idx="1">
                  <c:v>2.603311804411506E-2</c:v>
                </c:pt>
                <c:pt idx="2">
                  <c:v>4.2371965866498489E-2</c:v>
                </c:pt>
                <c:pt idx="3">
                  <c:v>5.2375321347558512E-2</c:v>
                </c:pt>
                <c:pt idx="4">
                  <c:v>5.444822003940304E-3</c:v>
                </c:pt>
                <c:pt idx="5">
                  <c:v>2.215567623250141E-2</c:v>
                </c:pt>
                <c:pt idx="6">
                  <c:v>2.2681388161722039E-2</c:v>
                </c:pt>
                <c:pt idx="7">
                  <c:v>2.89320829221053E-2</c:v>
                </c:pt>
                <c:pt idx="8">
                  <c:v>-4.7635835468567762E-2</c:v>
                </c:pt>
                <c:pt idx="9">
                  <c:v>6.9052169733939836E-2</c:v>
                </c:pt>
                <c:pt idx="10">
                  <c:v>-8.4837061847461599E-3</c:v>
                </c:pt>
                <c:pt idx="11">
                  <c:v>4.3362913462064862E-2</c:v>
                </c:pt>
                <c:pt idx="12">
                  <c:v>-5.3043498360727193E-2</c:v>
                </c:pt>
                <c:pt idx="13">
                  <c:v>-3.2193825279241618E-2</c:v>
                </c:pt>
                <c:pt idx="14">
                  <c:v>3.4656621704879577E-2</c:v>
                </c:pt>
                <c:pt idx="15">
                  <c:v>-8.953171180434305E-2</c:v>
                </c:pt>
                <c:pt idx="16">
                  <c:v>-1.6634889620220309E-3</c:v>
                </c:pt>
                <c:pt idx="17">
                  <c:v>-8.6128333267160156E-2</c:v>
                </c:pt>
                <c:pt idx="18">
                  <c:v>8.8599725063543355E-2</c:v>
                </c:pt>
                <c:pt idx="19">
                  <c:v>-4.5173461606331698E-2</c:v>
                </c:pt>
                <c:pt idx="20">
                  <c:v>-9.6637338679941037E-2</c:v>
                </c:pt>
                <c:pt idx="21">
                  <c:v>7.6171747170342238E-2</c:v>
                </c:pt>
                <c:pt idx="22">
                  <c:v>4.9811226685826437E-2</c:v>
                </c:pt>
                <c:pt idx="23">
                  <c:v>-6.2871474074730468E-2</c:v>
                </c:pt>
                <c:pt idx="24">
                  <c:v>5.7844524501345758E-2</c:v>
                </c:pt>
                <c:pt idx="25">
                  <c:v>-3.022082726515191E-2</c:v>
                </c:pt>
                <c:pt idx="26">
                  <c:v>3.1151612577108981E-2</c:v>
                </c:pt>
                <c:pt idx="27">
                  <c:v>1.074234166248102E-2</c:v>
                </c:pt>
                <c:pt idx="28">
                  <c:v>-1.6093192984736951E-3</c:v>
                </c:pt>
                <c:pt idx="29">
                  <c:v>6.0360798237567979E-2</c:v>
                </c:pt>
                <c:pt idx="30">
                  <c:v>2.6663932355010859E-2</c:v>
                </c:pt>
                <c:pt idx="31">
                  <c:v>-2.2191390070854019E-2</c:v>
                </c:pt>
                <c:pt idx="32">
                  <c:v>-5.3252700798958219E-2</c:v>
                </c:pt>
                <c:pt idx="33">
                  <c:v>-2.6496355404649619E-2</c:v>
                </c:pt>
                <c:pt idx="34">
                  <c:v>8.4779268781970132E-2</c:v>
                </c:pt>
                <c:pt idx="35">
                  <c:v>4.0095897823026791E-2</c:v>
                </c:pt>
                <c:pt idx="36">
                  <c:v>1.1904040932324949E-2</c:v>
                </c:pt>
                <c:pt idx="37">
                  <c:v>4.7620640623723169E-2</c:v>
                </c:pt>
                <c:pt idx="38">
                  <c:v>2.6860446582009631E-2</c:v>
                </c:pt>
                <c:pt idx="39">
                  <c:v>-4.5898405071232017E-2</c:v>
                </c:pt>
                <c:pt idx="40">
                  <c:v>4.3721190151199102E-2</c:v>
                </c:pt>
                <c:pt idx="41">
                  <c:v>3.041146794974995E-2</c:v>
                </c:pt>
                <c:pt idx="42">
                  <c:v>7.2379835545354149E-3</c:v>
                </c:pt>
                <c:pt idx="43">
                  <c:v>1.9143040269963701E-2</c:v>
                </c:pt>
                <c:pt idx="44">
                  <c:v>1.683855075726794E-2</c:v>
                </c:pt>
                <c:pt idx="45">
                  <c:v>-1.3396743303151709E-2</c:v>
                </c:pt>
                <c:pt idx="46">
                  <c:v>5.3692962148765497E-2</c:v>
                </c:pt>
                <c:pt idx="47">
                  <c:v>-2.851513704848363E-2</c:v>
                </c:pt>
                <c:pt idx="48">
                  <c:v>2.3532970907110769E-2</c:v>
                </c:pt>
                <c:pt idx="49">
                  <c:v>-1.773375936649179E-2</c:v>
                </c:pt>
                <c:pt idx="50">
                  <c:v>-6.0928031014708707E-2</c:v>
                </c:pt>
                <c:pt idx="51">
                  <c:v>-1.091661001295649E-2</c:v>
                </c:pt>
                <c:pt idx="52">
                  <c:v>5.8115492807449563E-2</c:v>
                </c:pt>
                <c:pt idx="53">
                  <c:v>4.6223506134382489E-2</c:v>
                </c:pt>
                <c:pt idx="54">
                  <c:v>1.8266562530640702E-2</c:v>
                </c:pt>
                <c:pt idx="55">
                  <c:v>1.5824777628369459E-2</c:v>
                </c:pt>
                <c:pt idx="56">
                  <c:v>3.2273687218701497E-2</c:v>
                </c:pt>
                <c:pt idx="57">
                  <c:v>1.9678538571590461E-2</c:v>
                </c:pt>
                <c:pt idx="58">
                  <c:v>-1.7503818333282099E-3</c:v>
                </c:pt>
              </c:numCache>
            </c:numRef>
          </c:xVal>
          <c:yVal>
            <c:numRef>
              <c:f>data!$I$2:$I$60</c:f>
              <c:numCache>
                <c:formatCode>General</c:formatCode>
                <c:ptCount val="59"/>
                <c:pt idx="0">
                  <c:v>-1.4195146900986449E-2</c:v>
                </c:pt>
                <c:pt idx="1">
                  <c:v>-6.7189197024735303E-2</c:v>
                </c:pt>
                <c:pt idx="2">
                  <c:v>8.174866782515465E-2</c:v>
                </c:pt>
                <c:pt idx="3">
                  <c:v>6.6745301819382541E-2</c:v>
                </c:pt>
                <c:pt idx="4">
                  <c:v>1.190222364594589E-2</c:v>
                </c:pt>
                <c:pt idx="5">
                  <c:v>1.104425410172832E-2</c:v>
                </c:pt>
                <c:pt idx="6">
                  <c:v>0.10304225495096039</c:v>
                </c:pt>
                <c:pt idx="7">
                  <c:v>7.6091716600437953E-2</c:v>
                </c:pt>
                <c:pt idx="8">
                  <c:v>-6.64874308110628E-2</c:v>
                </c:pt>
                <c:pt idx="9">
                  <c:v>1.6881599411822261E-2</c:v>
                </c:pt>
                <c:pt idx="10">
                  <c:v>0.23902712514396629</c:v>
                </c:pt>
                <c:pt idx="11">
                  <c:v>9.8763864562176312E-2</c:v>
                </c:pt>
                <c:pt idx="12">
                  <c:v>-0.10137937126594811</c:v>
                </c:pt>
                <c:pt idx="13">
                  <c:v>-0.10996210358612479</c:v>
                </c:pt>
                <c:pt idx="14">
                  <c:v>0.1017805110426693</c:v>
                </c:pt>
                <c:pt idx="15">
                  <c:v>-5.372862495971787E-2</c:v>
                </c:pt>
                <c:pt idx="16">
                  <c:v>8.8002610582761071E-2</c:v>
                </c:pt>
                <c:pt idx="17">
                  <c:v>-1.3708899979151E-2</c:v>
                </c:pt>
                <c:pt idx="18">
                  <c:v>-3.1661701827604027E-2</c:v>
                </c:pt>
                <c:pt idx="19">
                  <c:v>-0.10726723041751381</c:v>
                </c:pt>
                <c:pt idx="20">
                  <c:v>-3.574207646706859E-2</c:v>
                </c:pt>
                <c:pt idx="21">
                  <c:v>6.0065338783117567E-2</c:v>
                </c:pt>
                <c:pt idx="22">
                  <c:v>8.2194737323939851E-2</c:v>
                </c:pt>
                <c:pt idx="23">
                  <c:v>1.8242487049446209E-2</c:v>
                </c:pt>
                <c:pt idx="24">
                  <c:v>-0.13416969221674321</c:v>
                </c:pt>
                <c:pt idx="25">
                  <c:v>-8.5403649635253223E-2</c:v>
                </c:pt>
                <c:pt idx="26">
                  <c:v>1.769147484394178E-3</c:v>
                </c:pt>
                <c:pt idx="27">
                  <c:v>-5.0713656124722437E-2</c:v>
                </c:pt>
                <c:pt idx="28">
                  <c:v>-1.5883804270394659E-2</c:v>
                </c:pt>
                <c:pt idx="29">
                  <c:v>-3.9611288892487252E-2</c:v>
                </c:pt>
                <c:pt idx="30">
                  <c:v>-1.042491036993997E-2</c:v>
                </c:pt>
                <c:pt idx="31">
                  <c:v>-2.3332352033448741E-2</c:v>
                </c:pt>
                <c:pt idx="32">
                  <c:v>-6.6998213931407979E-2</c:v>
                </c:pt>
                <c:pt idx="33">
                  <c:v>-8.3202301257745803E-2</c:v>
                </c:pt>
                <c:pt idx="34">
                  <c:v>6.0978375309783256E-3</c:v>
                </c:pt>
                <c:pt idx="35">
                  <c:v>-5.9269545006604772E-2</c:v>
                </c:pt>
                <c:pt idx="36">
                  <c:v>-4.9232662139091769E-2</c:v>
                </c:pt>
                <c:pt idx="37">
                  <c:v>-2.3302406287843531E-2</c:v>
                </c:pt>
                <c:pt idx="38">
                  <c:v>4.0645872622345237E-2</c:v>
                </c:pt>
                <c:pt idx="39">
                  <c:v>-8.1040101335589393E-2</c:v>
                </c:pt>
                <c:pt idx="40">
                  <c:v>0.13122750737919189</c:v>
                </c:pt>
                <c:pt idx="41">
                  <c:v>-2.7984815400590359E-2</c:v>
                </c:pt>
                <c:pt idx="42">
                  <c:v>0.10281481388770911</c:v>
                </c:pt>
                <c:pt idx="43">
                  <c:v>-5.3789843842632662E-2</c:v>
                </c:pt>
                <c:pt idx="44">
                  <c:v>-5.7713360678931323E-3</c:v>
                </c:pt>
                <c:pt idx="45">
                  <c:v>-2.5614713463958771E-2</c:v>
                </c:pt>
                <c:pt idx="46">
                  <c:v>-6.307453259045627E-2</c:v>
                </c:pt>
                <c:pt idx="47">
                  <c:v>8.6840830046275297E-3</c:v>
                </c:pt>
                <c:pt idx="48">
                  <c:v>1.266572895605006E-2</c:v>
                </c:pt>
                <c:pt idx="49">
                  <c:v>-6.8853645249800054E-3</c:v>
                </c:pt>
                <c:pt idx="50">
                  <c:v>-4.4624365421516973E-2</c:v>
                </c:pt>
                <c:pt idx="51">
                  <c:v>-3.9992572775025187E-2</c:v>
                </c:pt>
                <c:pt idx="52">
                  <c:v>-2.2739665949864079E-2</c:v>
                </c:pt>
                <c:pt idx="53">
                  <c:v>2.8545204731852361E-2</c:v>
                </c:pt>
                <c:pt idx="54">
                  <c:v>-2.6012384844524991E-2</c:v>
                </c:pt>
                <c:pt idx="55">
                  <c:v>5.9875526834296013E-2</c:v>
                </c:pt>
                <c:pt idx="56">
                  <c:v>2.602912865539974E-2</c:v>
                </c:pt>
                <c:pt idx="57">
                  <c:v>-3.5582891906012333E-2</c:v>
                </c:pt>
                <c:pt idx="58">
                  <c:v>5.9556190359580707E-2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95-4EEA-81E8-48355F25E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6600991"/>
        <c:axId val="1056602431"/>
      </c:scatterChart>
      <c:valAx>
        <c:axId val="1056600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602431"/>
        <c:crosses val="autoZero"/>
        <c:crossBetween val="midCat"/>
      </c:valAx>
      <c:valAx>
        <c:axId val="105660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600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</a:t>
            </a:r>
            <a:r>
              <a:rPr lang="en-US" baseline="0"/>
              <a:t> intercept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data!$I$1</c:f>
              <c:strCache>
                <c:ptCount val="1"/>
                <c:pt idx="0">
                  <c:v>excess_stock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-0.68050831146106738"/>
                  <c:y val="-0.473569189268008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data!$H$2:$H$60</c:f>
              <c:numCache>
                <c:formatCode>General</c:formatCode>
                <c:ptCount val="59"/>
                <c:pt idx="0">
                  <c:v>-1.1219994088778501E-2</c:v>
                </c:pt>
                <c:pt idx="1">
                  <c:v>2.603311804411506E-2</c:v>
                </c:pt>
                <c:pt idx="2">
                  <c:v>4.2371965866498489E-2</c:v>
                </c:pt>
                <c:pt idx="3">
                  <c:v>5.2375321347558512E-2</c:v>
                </c:pt>
                <c:pt idx="4">
                  <c:v>5.444822003940304E-3</c:v>
                </c:pt>
                <c:pt idx="5">
                  <c:v>2.215567623250141E-2</c:v>
                </c:pt>
                <c:pt idx="6">
                  <c:v>2.2681388161722039E-2</c:v>
                </c:pt>
                <c:pt idx="7">
                  <c:v>2.89320829221053E-2</c:v>
                </c:pt>
                <c:pt idx="8">
                  <c:v>-4.7635835468567762E-2</c:v>
                </c:pt>
                <c:pt idx="9">
                  <c:v>6.9052169733939836E-2</c:v>
                </c:pt>
                <c:pt idx="10">
                  <c:v>-8.4837061847461599E-3</c:v>
                </c:pt>
                <c:pt idx="11">
                  <c:v>4.3362913462064862E-2</c:v>
                </c:pt>
                <c:pt idx="12">
                  <c:v>-5.3043498360727193E-2</c:v>
                </c:pt>
                <c:pt idx="13">
                  <c:v>-3.2193825279241618E-2</c:v>
                </c:pt>
                <c:pt idx="14">
                  <c:v>3.4656621704879577E-2</c:v>
                </c:pt>
                <c:pt idx="15">
                  <c:v>-8.953171180434305E-2</c:v>
                </c:pt>
                <c:pt idx="16">
                  <c:v>-1.6634889620220309E-3</c:v>
                </c:pt>
                <c:pt idx="17">
                  <c:v>-8.6128333267160156E-2</c:v>
                </c:pt>
                <c:pt idx="18">
                  <c:v>8.8599725063543355E-2</c:v>
                </c:pt>
                <c:pt idx="19">
                  <c:v>-4.5173461606331698E-2</c:v>
                </c:pt>
                <c:pt idx="20">
                  <c:v>-9.6637338679941037E-2</c:v>
                </c:pt>
                <c:pt idx="21">
                  <c:v>7.6171747170342238E-2</c:v>
                </c:pt>
                <c:pt idx="22">
                  <c:v>4.9811226685826437E-2</c:v>
                </c:pt>
                <c:pt idx="23">
                  <c:v>-6.2871474074730468E-2</c:v>
                </c:pt>
                <c:pt idx="24">
                  <c:v>5.7844524501345758E-2</c:v>
                </c:pt>
                <c:pt idx="25">
                  <c:v>-3.022082726515191E-2</c:v>
                </c:pt>
                <c:pt idx="26">
                  <c:v>3.1151612577108981E-2</c:v>
                </c:pt>
                <c:pt idx="27">
                  <c:v>1.074234166248102E-2</c:v>
                </c:pt>
                <c:pt idx="28">
                  <c:v>-1.6093192984736951E-3</c:v>
                </c:pt>
                <c:pt idx="29">
                  <c:v>6.0360798237567979E-2</c:v>
                </c:pt>
                <c:pt idx="30">
                  <c:v>2.6663932355010859E-2</c:v>
                </c:pt>
                <c:pt idx="31">
                  <c:v>-2.2191390070854019E-2</c:v>
                </c:pt>
                <c:pt idx="32">
                  <c:v>-5.3252700798958219E-2</c:v>
                </c:pt>
                <c:pt idx="33">
                  <c:v>-2.6496355404649619E-2</c:v>
                </c:pt>
                <c:pt idx="34">
                  <c:v>8.4779268781970132E-2</c:v>
                </c:pt>
                <c:pt idx="35">
                  <c:v>4.0095897823026791E-2</c:v>
                </c:pt>
                <c:pt idx="36">
                  <c:v>1.1904040932324949E-2</c:v>
                </c:pt>
                <c:pt idx="37">
                  <c:v>4.7620640623723169E-2</c:v>
                </c:pt>
                <c:pt idx="38">
                  <c:v>2.6860446582009631E-2</c:v>
                </c:pt>
                <c:pt idx="39">
                  <c:v>-4.5898405071232017E-2</c:v>
                </c:pt>
                <c:pt idx="40">
                  <c:v>4.3721190151199102E-2</c:v>
                </c:pt>
                <c:pt idx="41">
                  <c:v>3.041146794974995E-2</c:v>
                </c:pt>
                <c:pt idx="42">
                  <c:v>7.2379835545354149E-3</c:v>
                </c:pt>
                <c:pt idx="43">
                  <c:v>1.9143040269963701E-2</c:v>
                </c:pt>
                <c:pt idx="44">
                  <c:v>1.683855075726794E-2</c:v>
                </c:pt>
                <c:pt idx="45">
                  <c:v>-1.3396743303151709E-2</c:v>
                </c:pt>
                <c:pt idx="46">
                  <c:v>5.3692962148765497E-2</c:v>
                </c:pt>
                <c:pt idx="47">
                  <c:v>-2.851513704848363E-2</c:v>
                </c:pt>
                <c:pt idx="48">
                  <c:v>2.3532970907110769E-2</c:v>
                </c:pt>
                <c:pt idx="49">
                  <c:v>-1.773375936649179E-2</c:v>
                </c:pt>
                <c:pt idx="50">
                  <c:v>-6.0928031014708707E-2</c:v>
                </c:pt>
                <c:pt idx="51">
                  <c:v>-1.091661001295649E-2</c:v>
                </c:pt>
                <c:pt idx="52">
                  <c:v>5.8115492807449563E-2</c:v>
                </c:pt>
                <c:pt idx="53">
                  <c:v>4.6223506134382489E-2</c:v>
                </c:pt>
                <c:pt idx="54">
                  <c:v>1.8266562530640702E-2</c:v>
                </c:pt>
                <c:pt idx="55">
                  <c:v>1.5824777628369459E-2</c:v>
                </c:pt>
                <c:pt idx="56">
                  <c:v>3.2273687218701497E-2</c:v>
                </c:pt>
                <c:pt idx="57">
                  <c:v>1.9678538571590461E-2</c:v>
                </c:pt>
                <c:pt idx="58">
                  <c:v>-1.7503818333282099E-3</c:v>
                </c:pt>
              </c:numCache>
            </c:numRef>
          </c:xVal>
          <c:yVal>
            <c:numRef>
              <c:f>data!$I$2:$I$60</c:f>
              <c:numCache>
                <c:formatCode>General</c:formatCode>
                <c:ptCount val="59"/>
                <c:pt idx="0">
                  <c:v>-1.4195146900986449E-2</c:v>
                </c:pt>
                <c:pt idx="1">
                  <c:v>-6.7189197024735303E-2</c:v>
                </c:pt>
                <c:pt idx="2">
                  <c:v>8.174866782515465E-2</c:v>
                </c:pt>
                <c:pt idx="3">
                  <c:v>6.6745301819382541E-2</c:v>
                </c:pt>
                <c:pt idx="4">
                  <c:v>1.190222364594589E-2</c:v>
                </c:pt>
                <c:pt idx="5">
                  <c:v>1.104425410172832E-2</c:v>
                </c:pt>
                <c:pt idx="6">
                  <c:v>0.10304225495096039</c:v>
                </c:pt>
                <c:pt idx="7">
                  <c:v>7.6091716600437953E-2</c:v>
                </c:pt>
                <c:pt idx="8">
                  <c:v>-6.64874308110628E-2</c:v>
                </c:pt>
                <c:pt idx="9">
                  <c:v>1.6881599411822261E-2</c:v>
                </c:pt>
                <c:pt idx="10">
                  <c:v>0.23902712514396629</c:v>
                </c:pt>
                <c:pt idx="11">
                  <c:v>9.8763864562176312E-2</c:v>
                </c:pt>
                <c:pt idx="12">
                  <c:v>-0.10137937126594811</c:v>
                </c:pt>
                <c:pt idx="13">
                  <c:v>-0.10996210358612479</c:v>
                </c:pt>
                <c:pt idx="14">
                  <c:v>0.1017805110426693</c:v>
                </c:pt>
                <c:pt idx="15">
                  <c:v>-5.372862495971787E-2</c:v>
                </c:pt>
                <c:pt idx="16">
                  <c:v>8.8002610582761071E-2</c:v>
                </c:pt>
                <c:pt idx="17">
                  <c:v>-1.3708899979151E-2</c:v>
                </c:pt>
                <c:pt idx="18">
                  <c:v>-3.1661701827604027E-2</c:v>
                </c:pt>
                <c:pt idx="19">
                  <c:v>-0.10726723041751381</c:v>
                </c:pt>
                <c:pt idx="20">
                  <c:v>-3.574207646706859E-2</c:v>
                </c:pt>
                <c:pt idx="21">
                  <c:v>6.0065338783117567E-2</c:v>
                </c:pt>
                <c:pt idx="22">
                  <c:v>8.2194737323939851E-2</c:v>
                </c:pt>
                <c:pt idx="23">
                  <c:v>1.8242487049446209E-2</c:v>
                </c:pt>
                <c:pt idx="24">
                  <c:v>-0.13416969221674321</c:v>
                </c:pt>
                <c:pt idx="25">
                  <c:v>-8.5403649635253223E-2</c:v>
                </c:pt>
                <c:pt idx="26">
                  <c:v>1.769147484394178E-3</c:v>
                </c:pt>
                <c:pt idx="27">
                  <c:v>-5.0713656124722437E-2</c:v>
                </c:pt>
                <c:pt idx="28">
                  <c:v>-1.5883804270394659E-2</c:v>
                </c:pt>
                <c:pt idx="29">
                  <c:v>-3.9611288892487252E-2</c:v>
                </c:pt>
                <c:pt idx="30">
                  <c:v>-1.042491036993997E-2</c:v>
                </c:pt>
                <c:pt idx="31">
                  <c:v>-2.3332352033448741E-2</c:v>
                </c:pt>
                <c:pt idx="32">
                  <c:v>-6.6998213931407979E-2</c:v>
                </c:pt>
                <c:pt idx="33">
                  <c:v>-8.3202301257745803E-2</c:v>
                </c:pt>
                <c:pt idx="34">
                  <c:v>6.0978375309783256E-3</c:v>
                </c:pt>
                <c:pt idx="35">
                  <c:v>-5.9269545006604772E-2</c:v>
                </c:pt>
                <c:pt idx="36">
                  <c:v>-4.9232662139091769E-2</c:v>
                </c:pt>
                <c:pt idx="37">
                  <c:v>-2.3302406287843531E-2</c:v>
                </c:pt>
                <c:pt idx="38">
                  <c:v>4.0645872622345237E-2</c:v>
                </c:pt>
                <c:pt idx="39">
                  <c:v>-8.1040101335589393E-2</c:v>
                </c:pt>
                <c:pt idx="40">
                  <c:v>0.13122750737919189</c:v>
                </c:pt>
                <c:pt idx="41">
                  <c:v>-2.7984815400590359E-2</c:v>
                </c:pt>
                <c:pt idx="42">
                  <c:v>0.10281481388770911</c:v>
                </c:pt>
                <c:pt idx="43">
                  <c:v>-5.3789843842632662E-2</c:v>
                </c:pt>
                <c:pt idx="44">
                  <c:v>-5.7713360678931323E-3</c:v>
                </c:pt>
                <c:pt idx="45">
                  <c:v>-2.5614713463958771E-2</c:v>
                </c:pt>
                <c:pt idx="46">
                  <c:v>-6.307453259045627E-2</c:v>
                </c:pt>
                <c:pt idx="47">
                  <c:v>8.6840830046275297E-3</c:v>
                </c:pt>
                <c:pt idx="48">
                  <c:v>1.266572895605006E-2</c:v>
                </c:pt>
                <c:pt idx="49">
                  <c:v>-6.8853645249800054E-3</c:v>
                </c:pt>
                <c:pt idx="50">
                  <c:v>-4.4624365421516973E-2</c:v>
                </c:pt>
                <c:pt idx="51">
                  <c:v>-3.9992572775025187E-2</c:v>
                </c:pt>
                <c:pt idx="52">
                  <c:v>-2.2739665949864079E-2</c:v>
                </c:pt>
                <c:pt idx="53">
                  <c:v>2.8545204731852361E-2</c:v>
                </c:pt>
                <c:pt idx="54">
                  <c:v>-2.6012384844524991E-2</c:v>
                </c:pt>
                <c:pt idx="55">
                  <c:v>5.9875526834296013E-2</c:v>
                </c:pt>
                <c:pt idx="56">
                  <c:v>2.602912865539974E-2</c:v>
                </c:pt>
                <c:pt idx="57">
                  <c:v>-3.5582891906012333E-2</c:v>
                </c:pt>
                <c:pt idx="58">
                  <c:v>5.9556190359580707E-2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62-4B3D-82D4-4CCBDDE6D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6455967"/>
        <c:axId val="1436451647"/>
      </c:scatterChart>
      <c:valAx>
        <c:axId val="1436455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451647"/>
        <c:crosses val="autoZero"/>
        <c:crossBetween val="midCat"/>
      </c:valAx>
      <c:valAx>
        <c:axId val="143645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455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</xdr:colOff>
      <xdr:row>1</xdr:row>
      <xdr:rowOff>118110</xdr:rowOff>
    </xdr:from>
    <xdr:to>
      <xdr:col>17</xdr:col>
      <xdr:colOff>342900</xdr:colOff>
      <xdr:row>16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4720B6-1D65-1BE1-E50E-84D10A542A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60960</xdr:colOff>
      <xdr:row>17</xdr:row>
      <xdr:rowOff>95250</xdr:rowOff>
    </xdr:from>
    <xdr:to>
      <xdr:col>17</xdr:col>
      <xdr:colOff>365760</xdr:colOff>
      <xdr:row>32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91B49E-46BF-ADBD-0870-340672955A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15240</xdr:colOff>
      <xdr:row>1</xdr:row>
      <xdr:rowOff>57150</xdr:rowOff>
    </xdr:from>
    <xdr:to>
      <xdr:col>25</xdr:col>
      <xdr:colOff>320040</xdr:colOff>
      <xdr:row>16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1DC5ABC-3DD3-7646-BB10-3767711923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601980</xdr:colOff>
      <xdr:row>17</xdr:row>
      <xdr:rowOff>95250</xdr:rowOff>
    </xdr:from>
    <xdr:to>
      <xdr:col>25</xdr:col>
      <xdr:colOff>297180</xdr:colOff>
      <xdr:row>32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029A700-6646-DC27-FBA7-72B8972A71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0"/>
  <sheetViews>
    <sheetView tabSelected="1" topLeftCell="H42" workbookViewId="0">
      <selection activeCell="O45" sqref="O45"/>
    </sheetView>
  </sheetViews>
  <sheetFormatPr defaultRowHeight="14.4" x14ac:dyDescent="0.3"/>
  <cols>
    <col min="1" max="1" width="18.109375" bestFit="1" customWidth="1"/>
    <col min="2" max="3" width="12" bestFit="1" customWidth="1"/>
    <col min="4" max="4" width="5" bestFit="1" customWidth="1"/>
    <col min="5" max="6" width="12.6640625" bestFit="1" customWidth="1"/>
    <col min="7" max="7" width="12" bestFit="1" customWidth="1"/>
    <col min="8" max="9" width="12.6640625" bestFit="1" customWidth="1"/>
  </cols>
  <sheetData>
    <row r="1" spans="1:19" x14ac:dyDescent="0.3">
      <c r="B1" s="1" t="s">
        <v>0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  <c r="H1" s="1" t="s">
        <v>7</v>
      </c>
      <c r="I1" s="1" t="s">
        <v>6</v>
      </c>
      <c r="L1" s="3" t="s">
        <v>38</v>
      </c>
      <c r="S1" s="4" t="s">
        <v>39</v>
      </c>
    </row>
    <row r="2" spans="1:19" x14ac:dyDescent="0.3">
      <c r="A2" s="2">
        <v>44227</v>
      </c>
      <c r="B2">
        <v>28.435920715332031</v>
      </c>
      <c r="C2">
        <v>3714.239990234375</v>
      </c>
      <c r="D2">
        <v>0.1</v>
      </c>
      <c r="E2">
        <v>-1.113666075544517E-2</v>
      </c>
      <c r="F2">
        <v>-1.411181356765312E-2</v>
      </c>
      <c r="G2">
        <v>8.3333333333333331E-5</v>
      </c>
      <c r="H2">
        <v>-1.1219994088778501E-2</v>
      </c>
      <c r="I2">
        <v>-1.4195146900986449E-2</v>
      </c>
    </row>
    <row r="3" spans="1:19" x14ac:dyDescent="0.3">
      <c r="A3" s="2">
        <v>44255</v>
      </c>
      <c r="B3">
        <v>26.526992797851559</v>
      </c>
      <c r="C3">
        <v>3811.14990234375</v>
      </c>
      <c r="D3">
        <v>7.0000000000000007E-2</v>
      </c>
      <c r="E3">
        <v>2.609145137744839E-2</v>
      </c>
      <c r="F3">
        <v>-6.7130863691401976E-2</v>
      </c>
      <c r="G3">
        <v>5.833333333333334E-5</v>
      </c>
      <c r="H3">
        <v>2.603311804411506E-2</v>
      </c>
      <c r="I3">
        <v>-6.7189197024735303E-2</v>
      </c>
    </row>
    <row r="4" spans="1:19" x14ac:dyDescent="0.3">
      <c r="A4" s="2">
        <v>44286</v>
      </c>
      <c r="B4">
        <v>28.697307586669918</v>
      </c>
      <c r="C4">
        <v>3972.889892578125</v>
      </c>
      <c r="D4">
        <v>0.08</v>
      </c>
      <c r="E4">
        <v>4.2438632533165148E-2</v>
      </c>
      <c r="F4">
        <v>8.1815334491821323E-2</v>
      </c>
      <c r="G4">
        <v>6.666666666666667E-5</v>
      </c>
      <c r="H4">
        <v>4.2371965866498489E-2</v>
      </c>
      <c r="I4">
        <v>8.174866782515465E-2</v>
      </c>
    </row>
    <row r="5" spans="1:19" x14ac:dyDescent="0.3">
      <c r="A5" s="2">
        <v>44316</v>
      </c>
      <c r="B5">
        <v>30.614152908325199</v>
      </c>
      <c r="C5">
        <v>4181.169921875</v>
      </c>
      <c r="D5">
        <v>0.06</v>
      </c>
      <c r="E5">
        <v>5.2425321347558507E-2</v>
      </c>
      <c r="F5">
        <v>6.6795301819382535E-2</v>
      </c>
      <c r="G5">
        <v>5.0000000000000002E-5</v>
      </c>
      <c r="H5">
        <v>5.2375321347558512E-2</v>
      </c>
      <c r="I5">
        <v>6.6745301819382541E-2</v>
      </c>
    </row>
    <row r="6" spans="1:19" x14ac:dyDescent="0.3">
      <c r="A6" s="2">
        <v>44347</v>
      </c>
      <c r="B6">
        <v>30.979804992675781</v>
      </c>
      <c r="C6">
        <v>4204.10986328125</v>
      </c>
      <c r="D6">
        <v>0.05</v>
      </c>
      <c r="E6">
        <v>5.4864886706069704E-3</v>
      </c>
      <c r="F6">
        <v>1.194389031261256E-2</v>
      </c>
      <c r="G6">
        <v>4.1666666666666672E-5</v>
      </c>
      <c r="H6">
        <v>5.444822003940304E-3</v>
      </c>
      <c r="I6">
        <v>1.190222364594589E-2</v>
      </c>
    </row>
    <row r="7" spans="1:19" x14ac:dyDescent="0.3">
      <c r="A7" s="2">
        <v>44377</v>
      </c>
      <c r="B7">
        <v>31.323760986328121</v>
      </c>
      <c r="C7">
        <v>4297.5</v>
      </c>
      <c r="D7">
        <v>7.0000000000000007E-2</v>
      </c>
      <c r="E7">
        <v>2.221400956583475E-2</v>
      </c>
      <c r="F7">
        <v>1.110258743506165E-2</v>
      </c>
      <c r="G7">
        <v>5.833333333333334E-5</v>
      </c>
      <c r="H7">
        <v>2.215567623250141E-2</v>
      </c>
      <c r="I7">
        <v>1.104425410172832E-2</v>
      </c>
    </row>
    <row r="8" spans="1:19" x14ac:dyDescent="0.3">
      <c r="A8" s="2">
        <v>44408</v>
      </c>
      <c r="B8">
        <v>34.553520202636719</v>
      </c>
      <c r="C8">
        <v>4395.259765625</v>
      </c>
      <c r="D8">
        <v>0.08</v>
      </c>
      <c r="E8">
        <v>2.2748054828388709E-2</v>
      </c>
      <c r="F8">
        <v>0.10310892161762709</v>
      </c>
      <c r="G8">
        <v>6.666666666666667E-5</v>
      </c>
      <c r="H8">
        <v>2.2681388161722039E-2</v>
      </c>
      <c r="I8">
        <v>0.10304225495096039</v>
      </c>
    </row>
    <row r="9" spans="1:19" x14ac:dyDescent="0.3">
      <c r="A9" s="2">
        <v>44439</v>
      </c>
      <c r="B9">
        <v>37.184772491455078</v>
      </c>
      <c r="C9">
        <v>4522.68017578125</v>
      </c>
      <c r="D9">
        <v>7.0000000000000007E-2</v>
      </c>
      <c r="E9">
        <v>2.899041625543863E-2</v>
      </c>
      <c r="F9">
        <v>7.615004993377128E-2</v>
      </c>
      <c r="G9">
        <v>5.833333333333334E-5</v>
      </c>
      <c r="H9">
        <v>2.89320829221053E-2</v>
      </c>
      <c r="I9">
        <v>7.6091716600437953E-2</v>
      </c>
    </row>
    <row r="10" spans="1:19" x14ac:dyDescent="0.3">
      <c r="A10" s="2">
        <v>44469</v>
      </c>
      <c r="B10">
        <v>34.714931488037109</v>
      </c>
      <c r="C10">
        <v>4307.5400390625</v>
      </c>
      <c r="D10">
        <v>0.08</v>
      </c>
      <c r="E10">
        <v>-4.7569168801901103E-2</v>
      </c>
      <c r="F10">
        <v>-6.6420764144396127E-2</v>
      </c>
      <c r="G10">
        <v>6.666666666666667E-5</v>
      </c>
      <c r="H10">
        <v>-4.7635835468567762E-2</v>
      </c>
      <c r="I10">
        <v>-6.64874308110628E-2</v>
      </c>
    </row>
    <row r="11" spans="1:19" x14ac:dyDescent="0.3">
      <c r="A11" s="2">
        <v>44500</v>
      </c>
      <c r="B11">
        <v>35.304157257080078</v>
      </c>
      <c r="C11">
        <v>4605.3798828125</v>
      </c>
      <c r="D11">
        <v>0.11</v>
      </c>
      <c r="E11">
        <v>6.9143836400606506E-2</v>
      </c>
      <c r="F11">
        <v>1.6973266078488921E-2</v>
      </c>
      <c r="G11">
        <v>9.1666666666666668E-5</v>
      </c>
      <c r="H11">
        <v>6.9052169733939836E-2</v>
      </c>
      <c r="I11">
        <v>1.6881599411822261E-2</v>
      </c>
    </row>
    <row r="12" spans="1:19" x14ac:dyDescent="0.3">
      <c r="A12" s="2">
        <v>44530</v>
      </c>
      <c r="B12">
        <v>43.748104095458977</v>
      </c>
      <c r="C12">
        <v>4567</v>
      </c>
      <c r="D12">
        <v>0.18</v>
      </c>
      <c r="E12">
        <v>-8.3337061847461591E-3</v>
      </c>
      <c r="F12">
        <v>0.2391771251439663</v>
      </c>
      <c r="G12">
        <v>1.4999999999999999E-4</v>
      </c>
      <c r="H12">
        <v>-8.4837061847461599E-3</v>
      </c>
      <c r="I12">
        <v>0.23902712514396629</v>
      </c>
    </row>
    <row r="13" spans="1:19" x14ac:dyDescent="0.3">
      <c r="A13" s="2">
        <v>44561</v>
      </c>
      <c r="B13">
        <v>48.07977294921875</v>
      </c>
      <c r="C13">
        <v>4766.18017578125</v>
      </c>
      <c r="D13">
        <v>0.3</v>
      </c>
      <c r="E13">
        <v>4.3612913462064862E-2</v>
      </c>
      <c r="F13">
        <v>9.9013864562176312E-2</v>
      </c>
      <c r="G13">
        <v>2.5000000000000001E-4</v>
      </c>
      <c r="H13">
        <v>4.3362913462064862E-2</v>
      </c>
      <c r="I13">
        <v>9.8763864562176312E-2</v>
      </c>
    </row>
    <row r="14" spans="1:19" x14ac:dyDescent="0.3">
      <c r="A14" s="2">
        <v>44592</v>
      </c>
      <c r="B14">
        <v>43.227512359619141</v>
      </c>
      <c r="C14">
        <v>4515.5498046875</v>
      </c>
      <c r="D14">
        <v>0.55000000000000004</v>
      </c>
      <c r="E14">
        <v>-5.2585165027393847E-2</v>
      </c>
      <c r="F14">
        <v>-0.1009210379326148</v>
      </c>
      <c r="G14">
        <v>4.5833333333333338E-4</v>
      </c>
      <c r="H14">
        <v>-5.3043498360727193E-2</v>
      </c>
      <c r="I14">
        <v>-0.10137937126594811</v>
      </c>
    </row>
    <row r="15" spans="1:19" x14ac:dyDescent="0.3">
      <c r="A15" s="2">
        <v>44620</v>
      </c>
      <c r="B15">
        <v>38.510147094726563</v>
      </c>
      <c r="C15">
        <v>4373.93994140625</v>
      </c>
      <c r="D15">
        <v>1</v>
      </c>
      <c r="E15">
        <v>-3.1360491945908293E-2</v>
      </c>
      <c r="F15">
        <v>-0.1091287702527914</v>
      </c>
      <c r="G15">
        <v>8.3333333333333339E-4</v>
      </c>
      <c r="H15">
        <v>-3.2193825279241618E-2</v>
      </c>
      <c r="I15">
        <v>-0.10996210358612479</v>
      </c>
    </row>
    <row r="16" spans="1:19" x14ac:dyDescent="0.3">
      <c r="A16" s="2">
        <v>44651</v>
      </c>
      <c r="B16">
        <v>42.472732543945313</v>
      </c>
      <c r="C16">
        <v>4530.41015625</v>
      </c>
      <c r="D16">
        <v>1.34</v>
      </c>
      <c r="E16">
        <v>3.5773288371546252E-2</v>
      </c>
      <c r="F16">
        <v>0.1028971777093359</v>
      </c>
      <c r="G16">
        <v>1.1166666666666671E-3</v>
      </c>
      <c r="H16">
        <v>3.4656621704879577E-2</v>
      </c>
      <c r="I16">
        <v>0.1017805110426693</v>
      </c>
    </row>
    <row r="17" spans="1:9" x14ac:dyDescent="0.3">
      <c r="A17" s="2">
        <v>44681</v>
      </c>
      <c r="B17">
        <v>40.257625579833977</v>
      </c>
      <c r="C17">
        <v>4131.93017578125</v>
      </c>
      <c r="D17">
        <v>1.89</v>
      </c>
      <c r="E17">
        <v>-8.7956711804343057E-2</v>
      </c>
      <c r="F17">
        <v>-5.215362495971787E-2</v>
      </c>
      <c r="G17">
        <v>1.575E-3</v>
      </c>
      <c r="H17">
        <v>-8.953171180434305E-2</v>
      </c>
      <c r="I17">
        <v>-5.372862495971787E-2</v>
      </c>
    </row>
    <row r="18" spans="1:9" x14ac:dyDescent="0.3">
      <c r="A18" s="2">
        <v>44712</v>
      </c>
      <c r="B18">
        <v>43.869510650634773</v>
      </c>
      <c r="C18">
        <v>4132.14990234375</v>
      </c>
      <c r="D18">
        <v>2.06</v>
      </c>
      <c r="E18">
        <v>5.3177704644635782E-5</v>
      </c>
      <c r="F18">
        <v>8.9719277249427742E-2</v>
      </c>
      <c r="G18">
        <v>1.7166666666666669E-3</v>
      </c>
      <c r="H18">
        <v>-1.6634889620220309E-3</v>
      </c>
      <c r="I18">
        <v>8.8002610582761071E-2</v>
      </c>
    </row>
    <row r="19" spans="1:9" x14ac:dyDescent="0.3">
      <c r="A19" s="2">
        <v>44742</v>
      </c>
      <c r="B19">
        <v>43.364986419677727</v>
      </c>
      <c r="C19">
        <v>3785.3798828125</v>
      </c>
      <c r="D19">
        <v>2.65</v>
      </c>
      <c r="E19">
        <v>-8.3919999933826817E-2</v>
      </c>
      <c r="F19">
        <v>-1.150056664581767E-2</v>
      </c>
      <c r="G19">
        <v>2.208333333333333E-3</v>
      </c>
      <c r="H19">
        <v>-8.6128333267160156E-2</v>
      </c>
      <c r="I19">
        <v>-1.3708899979151E-2</v>
      </c>
    </row>
    <row r="20" spans="1:9" x14ac:dyDescent="0.3">
      <c r="A20" s="2">
        <v>44773</v>
      </c>
      <c r="B20">
        <v>42.101112365722663</v>
      </c>
      <c r="C20">
        <v>4130.2900390625</v>
      </c>
      <c r="D20">
        <v>3.02</v>
      </c>
      <c r="E20">
        <v>9.1116391730210022E-2</v>
      </c>
      <c r="F20">
        <v>-2.914503516093736E-2</v>
      </c>
      <c r="G20">
        <v>2.5166666666666671E-3</v>
      </c>
      <c r="H20">
        <v>8.8599725063543355E-2</v>
      </c>
      <c r="I20">
        <v>-3.1661701827604027E-2</v>
      </c>
    </row>
    <row r="21" spans="1:9" x14ac:dyDescent="0.3">
      <c r="A21" s="2">
        <v>44804</v>
      </c>
      <c r="B21">
        <v>37.700119018554688</v>
      </c>
      <c r="C21">
        <v>3955</v>
      </c>
      <c r="D21">
        <v>3.28</v>
      </c>
      <c r="E21">
        <v>-4.2440128272998368E-2</v>
      </c>
      <c r="F21">
        <v>-0.1045338970841805</v>
      </c>
      <c r="G21">
        <v>2.7333333333333328E-3</v>
      </c>
      <c r="H21">
        <v>-4.5173461606331698E-2</v>
      </c>
      <c r="I21">
        <v>-0.10726723041751381</v>
      </c>
    </row>
    <row r="22" spans="1:9" x14ac:dyDescent="0.3">
      <c r="A22" s="2">
        <v>44834</v>
      </c>
      <c r="B22">
        <v>36.474849700927727</v>
      </c>
      <c r="C22">
        <v>3585.6201171875</v>
      </c>
      <c r="D22">
        <v>3.89</v>
      </c>
      <c r="E22">
        <v>-9.3395672013274367E-2</v>
      </c>
      <c r="F22">
        <v>-3.2500409800401919E-2</v>
      </c>
      <c r="G22">
        <v>3.241666666666667E-3</v>
      </c>
      <c r="H22">
        <v>-9.6637338679941037E-2</v>
      </c>
      <c r="I22">
        <v>-3.574207646706859E-2</v>
      </c>
    </row>
    <row r="23" spans="1:9" x14ac:dyDescent="0.3">
      <c r="A23" s="2">
        <v>44865</v>
      </c>
      <c r="B23">
        <v>38.800376892089837</v>
      </c>
      <c r="C23">
        <v>3871.97998046875</v>
      </c>
      <c r="D23">
        <v>4.43</v>
      </c>
      <c r="E23">
        <v>7.9863413837008901E-2</v>
      </c>
      <c r="F23">
        <v>6.3757005449784243E-2</v>
      </c>
      <c r="G23">
        <v>3.691666666666666E-3</v>
      </c>
      <c r="H23">
        <v>7.6171747170342238E-2</v>
      </c>
      <c r="I23">
        <v>6.0065338783117567E-2</v>
      </c>
    </row>
    <row r="24" spans="1:9" x14ac:dyDescent="0.3">
      <c r="A24" s="2">
        <v>44895</v>
      </c>
      <c r="B24">
        <v>42.142501831054688</v>
      </c>
      <c r="C24">
        <v>4080.110107421875</v>
      </c>
      <c r="D24">
        <v>4.7300000000000004</v>
      </c>
      <c r="E24">
        <v>5.3752893352493107E-2</v>
      </c>
      <c r="F24">
        <v>8.6136403990606514E-2</v>
      </c>
      <c r="G24">
        <v>3.9416666666666671E-3</v>
      </c>
      <c r="H24">
        <v>4.9811226685826437E-2</v>
      </c>
      <c r="I24">
        <v>8.2194737323939851E-2</v>
      </c>
    </row>
    <row r="25" spans="1:9" x14ac:dyDescent="0.3">
      <c r="A25" s="2">
        <v>44926</v>
      </c>
      <c r="B25">
        <v>43.075641632080078</v>
      </c>
      <c r="C25">
        <v>3839.5</v>
      </c>
      <c r="D25">
        <v>4.68</v>
      </c>
      <c r="E25">
        <v>-5.8971474074730468E-2</v>
      </c>
      <c r="F25">
        <v>2.214248704944621E-2</v>
      </c>
      <c r="G25">
        <v>3.899999999999999E-3</v>
      </c>
      <c r="H25">
        <v>-6.2871474074730468E-2</v>
      </c>
      <c r="I25">
        <v>1.8242487049446209E-2</v>
      </c>
    </row>
    <row r="26" spans="1:9" x14ac:dyDescent="0.3">
      <c r="A26" s="2">
        <v>44957</v>
      </c>
      <c r="B26">
        <v>37.464550018310547</v>
      </c>
      <c r="C26">
        <v>4076.60009765625</v>
      </c>
      <c r="D26">
        <v>4.6900000000000004</v>
      </c>
      <c r="E26">
        <v>6.1752857834679098E-2</v>
      </c>
      <c r="F26">
        <v>-0.13026135888340981</v>
      </c>
      <c r="G26">
        <v>3.908333333333334E-3</v>
      </c>
      <c r="H26">
        <v>5.7844524501345758E-2</v>
      </c>
      <c r="I26">
        <v>-0.13416969221674321</v>
      </c>
    </row>
    <row r="27" spans="1:9" x14ac:dyDescent="0.3">
      <c r="A27" s="2">
        <v>44985</v>
      </c>
      <c r="B27">
        <v>34.418857574462891</v>
      </c>
      <c r="C27">
        <v>3970.14990234375</v>
      </c>
      <c r="D27">
        <v>4.93</v>
      </c>
      <c r="E27">
        <v>-2.6112493931818581E-2</v>
      </c>
      <c r="F27">
        <v>-8.1295316301919884E-2</v>
      </c>
      <c r="G27">
        <v>4.1083333333333328E-3</v>
      </c>
      <c r="H27">
        <v>-3.022082726515191E-2</v>
      </c>
      <c r="I27">
        <v>-8.5403649635253223E-2</v>
      </c>
    </row>
    <row r="28" spans="1:9" x14ac:dyDescent="0.3">
      <c r="A28" s="2">
        <v>45016</v>
      </c>
      <c r="B28">
        <v>34.613983154296882</v>
      </c>
      <c r="C28">
        <v>4109.31005859375</v>
      </c>
      <c r="D28">
        <v>4.68</v>
      </c>
      <c r="E28">
        <v>3.5051612577108981E-2</v>
      </c>
      <c r="F28">
        <v>5.6691474843941769E-3</v>
      </c>
      <c r="G28">
        <v>3.899999999999999E-3</v>
      </c>
      <c r="H28">
        <v>3.1151612577108981E-2</v>
      </c>
      <c r="I28">
        <v>1.769147484394178E-3</v>
      </c>
    </row>
    <row r="29" spans="1:9" x14ac:dyDescent="0.3">
      <c r="A29" s="2">
        <v>45046</v>
      </c>
      <c r="B29">
        <v>32.993576049804688</v>
      </c>
      <c r="C29">
        <v>4169.47998046875</v>
      </c>
      <c r="D29">
        <v>4.68</v>
      </c>
      <c r="E29">
        <v>1.4642341662481019E-2</v>
      </c>
      <c r="F29">
        <v>-4.6813656124722443E-2</v>
      </c>
      <c r="G29">
        <v>3.899999999999999E-3</v>
      </c>
      <c r="H29">
        <v>1.074234166248102E-2</v>
      </c>
      <c r="I29">
        <v>-5.0713656124722437E-2</v>
      </c>
    </row>
    <row r="30" spans="1:9" x14ac:dyDescent="0.3">
      <c r="A30" s="2">
        <v>45077</v>
      </c>
      <c r="B30">
        <v>32.604511260986328</v>
      </c>
      <c r="C30">
        <v>4179.830078125</v>
      </c>
      <c r="D30">
        <v>4.91</v>
      </c>
      <c r="E30">
        <v>2.482347368192972E-3</v>
      </c>
      <c r="F30">
        <v>-1.1792137603727991E-2</v>
      </c>
      <c r="G30">
        <v>4.0916666666666671E-3</v>
      </c>
      <c r="H30">
        <v>-1.6093192984736951E-3</v>
      </c>
      <c r="I30">
        <v>-1.5883804270394659E-2</v>
      </c>
    </row>
    <row r="31" spans="1:9" x14ac:dyDescent="0.3">
      <c r="A31" s="2">
        <v>45107</v>
      </c>
      <c r="B31">
        <v>31.455377578735352</v>
      </c>
      <c r="C31">
        <v>4450.3798828125</v>
      </c>
      <c r="D31">
        <v>5.24</v>
      </c>
      <c r="E31">
        <v>6.4727464904234644E-2</v>
      </c>
      <c r="F31">
        <v>-3.5244622225820588E-2</v>
      </c>
      <c r="G31">
        <v>4.3666666666666671E-3</v>
      </c>
      <c r="H31">
        <v>6.0360798237567979E-2</v>
      </c>
      <c r="I31">
        <v>-3.9611288892487252E-2</v>
      </c>
    </row>
    <row r="32" spans="1:9" x14ac:dyDescent="0.3">
      <c r="A32" s="2">
        <v>45138</v>
      </c>
      <c r="B32">
        <v>31.268220901489261</v>
      </c>
      <c r="C32">
        <v>4588.9599609375</v>
      </c>
      <c r="D32">
        <v>5.37</v>
      </c>
      <c r="E32">
        <v>3.1138932355010859E-2</v>
      </c>
      <c r="F32">
        <v>-5.9499103699399702E-3</v>
      </c>
      <c r="G32">
        <v>4.4749999999999998E-3</v>
      </c>
      <c r="H32">
        <v>2.6663932355010859E-2</v>
      </c>
      <c r="I32">
        <v>-1.042491036993997E-2</v>
      </c>
    </row>
    <row r="33" spans="1:15" x14ac:dyDescent="0.3">
      <c r="A33" s="2">
        <v>45169</v>
      </c>
      <c r="B33">
        <v>30.678585052490231</v>
      </c>
      <c r="C33">
        <v>4507.66015625</v>
      </c>
      <c r="D33">
        <v>5.37</v>
      </c>
      <c r="E33">
        <v>-1.7716390070854019E-2</v>
      </c>
      <c r="F33">
        <v>-1.8857352033448741E-2</v>
      </c>
      <c r="G33">
        <v>4.4749999999999998E-3</v>
      </c>
      <c r="H33">
        <v>-2.2191390070854019E-2</v>
      </c>
      <c r="I33">
        <v>-2.3332352033448741E-2</v>
      </c>
    </row>
    <row r="34" spans="1:15" x14ac:dyDescent="0.3">
      <c r="A34" s="2">
        <v>45199</v>
      </c>
      <c r="B34">
        <v>28.762250900268551</v>
      </c>
      <c r="C34">
        <v>4288.0498046875</v>
      </c>
      <c r="D34">
        <v>5.44</v>
      </c>
      <c r="E34">
        <v>-4.8719367465624892E-2</v>
      </c>
      <c r="F34">
        <v>-6.2464880598074653E-2</v>
      </c>
      <c r="G34">
        <v>4.5333333333333337E-3</v>
      </c>
      <c r="H34">
        <v>-5.3252700798958219E-2</v>
      </c>
      <c r="I34">
        <v>-6.6998213931407979E-2</v>
      </c>
    </row>
    <row r="35" spans="1:15" x14ac:dyDescent="0.3">
      <c r="A35" s="2">
        <v>45230</v>
      </c>
      <c r="B35">
        <v>26.499074935913089</v>
      </c>
      <c r="C35">
        <v>4193.7998046875</v>
      </c>
      <c r="D35">
        <v>5.42</v>
      </c>
      <c r="E35">
        <v>-2.197968873798295E-2</v>
      </c>
      <c r="F35">
        <v>-7.8685634591079134E-2</v>
      </c>
      <c r="G35">
        <v>4.5166666666666662E-3</v>
      </c>
      <c r="H35">
        <v>-2.6496355404649619E-2</v>
      </c>
      <c r="I35">
        <v>-8.3202301257745803E-2</v>
      </c>
    </row>
    <row r="36" spans="1:15" x14ac:dyDescent="0.3">
      <c r="A36" s="2">
        <v>45260</v>
      </c>
      <c r="B36">
        <v>26.77725791931152</v>
      </c>
      <c r="C36">
        <v>4567.7998046875</v>
      </c>
      <c r="D36">
        <v>5.28</v>
      </c>
      <c r="E36">
        <v>8.9179268781970134E-2</v>
      </c>
      <c r="F36">
        <v>1.049783753097833E-2</v>
      </c>
      <c r="G36">
        <v>4.4000000000000003E-3</v>
      </c>
      <c r="H36">
        <v>8.4779268781970132E-2</v>
      </c>
      <c r="I36">
        <v>6.0978375309783256E-3</v>
      </c>
    </row>
    <row r="37" spans="1:15" x14ac:dyDescent="0.3">
      <c r="A37" s="2">
        <v>45291</v>
      </c>
      <c r="B37">
        <v>25.300861358642582</v>
      </c>
      <c r="C37">
        <v>4769.830078125</v>
      </c>
      <c r="D37">
        <v>4.96</v>
      </c>
      <c r="E37">
        <v>4.4229231156360127E-2</v>
      </c>
      <c r="F37">
        <v>-5.5136211673271429E-2</v>
      </c>
      <c r="G37">
        <v>4.1333333333333326E-3</v>
      </c>
      <c r="H37">
        <v>4.0095897823026791E-2</v>
      </c>
      <c r="I37">
        <v>-5.9269545006604772E-2</v>
      </c>
    </row>
    <row r="38" spans="1:15" x14ac:dyDescent="0.3">
      <c r="A38" s="2">
        <v>45322</v>
      </c>
      <c r="B38">
        <v>24.15622520446777</v>
      </c>
      <c r="C38">
        <v>4845.64990234375</v>
      </c>
      <c r="D38">
        <v>4.79</v>
      </c>
      <c r="E38">
        <v>1.5895707598991619E-2</v>
      </c>
      <c r="F38">
        <v>-4.5240995472425112E-2</v>
      </c>
      <c r="G38">
        <v>3.9916666666666668E-3</v>
      </c>
      <c r="H38">
        <v>1.1904040932324949E-2</v>
      </c>
      <c r="I38">
        <v>-4.9232662139091769E-2</v>
      </c>
    </row>
    <row r="39" spans="1:15" x14ac:dyDescent="0.3">
      <c r="A39" s="2">
        <v>45351</v>
      </c>
      <c r="B39">
        <v>23.692367553710941</v>
      </c>
      <c r="C39">
        <v>5096.27001953125</v>
      </c>
      <c r="D39">
        <v>4.92</v>
      </c>
      <c r="E39">
        <v>5.1720640623723169E-2</v>
      </c>
      <c r="F39">
        <v>-1.9202406287843529E-2</v>
      </c>
      <c r="G39">
        <v>4.1000000000000003E-3</v>
      </c>
      <c r="H39">
        <v>4.7620640623723169E-2</v>
      </c>
      <c r="I39">
        <v>-2.3302406287843531E-2</v>
      </c>
    </row>
    <row r="40" spans="1:15" x14ac:dyDescent="0.3">
      <c r="A40" s="2">
        <v>45382</v>
      </c>
      <c r="B40">
        <v>24.753885269165039</v>
      </c>
      <c r="C40">
        <v>5254.35009765625</v>
      </c>
      <c r="D40">
        <v>4.99</v>
      </c>
      <c r="E40">
        <v>3.1018779915342961E-2</v>
      </c>
      <c r="F40">
        <v>4.4804205955678578E-2</v>
      </c>
      <c r="G40">
        <v>4.1583333333333333E-3</v>
      </c>
      <c r="H40">
        <v>2.6860446582009631E-2</v>
      </c>
      <c r="I40">
        <v>4.0645872622345237E-2</v>
      </c>
      <c r="K40" t="s">
        <v>40</v>
      </c>
      <c r="L40" s="5">
        <f>_xlfn.COVARIANCE.S(I:I,H:H)/_xlfn.VAR.S(H:H)</f>
        <v>0.4834071718782485</v>
      </c>
      <c r="M40" t="s">
        <v>41</v>
      </c>
      <c r="O40" t="s">
        <v>53</v>
      </c>
    </row>
    <row r="41" spans="1:15" x14ac:dyDescent="0.3">
      <c r="A41" s="2">
        <v>45412</v>
      </c>
      <c r="B41">
        <v>22.85385704040527</v>
      </c>
      <c r="C41">
        <v>5035.68994140625</v>
      </c>
      <c r="D41">
        <v>5.14</v>
      </c>
      <c r="E41">
        <v>-4.161507173789869E-2</v>
      </c>
      <c r="F41">
        <v>-7.6756768002256059E-2</v>
      </c>
      <c r="G41">
        <v>4.2833333333333326E-3</v>
      </c>
      <c r="H41">
        <v>-4.5898405071232017E-2</v>
      </c>
      <c r="I41">
        <v>-8.1040101335589393E-2</v>
      </c>
    </row>
    <row r="42" spans="1:15" x14ac:dyDescent="0.3">
      <c r="A42" s="2">
        <v>45443</v>
      </c>
      <c r="B42">
        <v>25.9511833190918</v>
      </c>
      <c r="C42">
        <v>5277.509765625</v>
      </c>
      <c r="D42">
        <v>5.16</v>
      </c>
      <c r="E42">
        <v>4.80211901511991E-2</v>
      </c>
      <c r="F42">
        <v>0.13552750737919189</v>
      </c>
      <c r="G42">
        <v>4.3E-3</v>
      </c>
      <c r="H42">
        <v>4.3721190151199102E-2</v>
      </c>
      <c r="I42">
        <v>0.13122750737919189</v>
      </c>
      <c r="K42" t="s">
        <v>42</v>
      </c>
      <c r="L42">
        <f>AVERAGE(G:G)</f>
        <v>2.7598870056497176E-3</v>
      </c>
    </row>
    <row r="43" spans="1:15" x14ac:dyDescent="0.3">
      <c r="A43" s="2">
        <v>45473</v>
      </c>
      <c r="B43">
        <v>25.335453033447269</v>
      </c>
      <c r="C43">
        <v>5460.47998046875</v>
      </c>
      <c r="D43">
        <v>5.1100000000000003</v>
      </c>
      <c r="E43">
        <v>3.4669801283083279E-2</v>
      </c>
      <c r="F43">
        <v>-2.372648206725703E-2</v>
      </c>
      <c r="G43">
        <v>4.2583333333333336E-3</v>
      </c>
      <c r="H43">
        <v>3.041146794974995E-2</v>
      </c>
      <c r="I43">
        <v>-2.7984815400590359E-2</v>
      </c>
      <c r="K43" t="s">
        <v>43</v>
      </c>
      <c r="L43" s="6">
        <f>L42*12</f>
        <v>3.3118644067796611E-2</v>
      </c>
    </row>
    <row r="44" spans="1:15" x14ac:dyDescent="0.3">
      <c r="A44" s="2">
        <v>45504</v>
      </c>
      <c r="B44">
        <v>28.043766021728519</v>
      </c>
      <c r="C44">
        <v>5522.2998046875</v>
      </c>
      <c r="D44">
        <v>4.9000000000000004</v>
      </c>
      <c r="E44">
        <v>1.132131688786875E-2</v>
      </c>
      <c r="F44">
        <v>0.10689814722104241</v>
      </c>
      <c r="G44">
        <v>4.0833333333333338E-3</v>
      </c>
      <c r="H44">
        <v>7.2379835545354149E-3</v>
      </c>
      <c r="I44">
        <v>0.10281481388770911</v>
      </c>
      <c r="K44" t="s">
        <v>44</v>
      </c>
      <c r="L44" s="7">
        <f>AVERAGE(H:H)</f>
        <v>8.4261133023780278E-3</v>
      </c>
    </row>
    <row r="45" spans="1:15" x14ac:dyDescent="0.3">
      <c r="A45" s="2">
        <v>45535</v>
      </c>
      <c r="B45">
        <v>26.638824462890621</v>
      </c>
      <c r="C45">
        <v>5648.39990234375</v>
      </c>
      <c r="D45">
        <v>4.43</v>
      </c>
      <c r="E45">
        <v>2.283470693663037E-2</v>
      </c>
      <c r="F45">
        <v>-5.0098177175965992E-2</v>
      </c>
      <c r="G45">
        <v>3.691666666666666E-3</v>
      </c>
      <c r="H45">
        <v>1.9143040269963701E-2</v>
      </c>
      <c r="I45">
        <v>-5.3789843842632662E-2</v>
      </c>
      <c r="K45" t="s">
        <v>45</v>
      </c>
      <c r="L45" s="6">
        <f>L44*12</f>
        <v>0.10111335962853633</v>
      </c>
    </row>
    <row r="46" spans="1:15" x14ac:dyDescent="0.3">
      <c r="A46" s="2">
        <v>45565</v>
      </c>
      <c r="B46">
        <v>26.574544906616211</v>
      </c>
      <c r="C46">
        <v>5762.47998046875</v>
      </c>
      <c r="D46">
        <v>4.03</v>
      </c>
      <c r="E46">
        <v>2.0196884090601271E-2</v>
      </c>
      <c r="F46">
        <v>-2.4130027345597989E-3</v>
      </c>
      <c r="G46">
        <v>3.358333333333333E-3</v>
      </c>
      <c r="H46">
        <v>1.683855075726794E-2</v>
      </c>
      <c r="I46">
        <v>-5.7713360678931323E-3</v>
      </c>
    </row>
    <row r="47" spans="1:15" x14ac:dyDescent="0.3">
      <c r="A47" s="2">
        <v>45596</v>
      </c>
      <c r="B47">
        <v>25.986856460571289</v>
      </c>
      <c r="C47">
        <v>5705.4501953125</v>
      </c>
      <c r="D47">
        <v>4.2</v>
      </c>
      <c r="E47">
        <v>-9.8967433031517116E-3</v>
      </c>
      <c r="F47">
        <v>-2.2114713463958768E-2</v>
      </c>
      <c r="G47">
        <v>3.5000000000000001E-3</v>
      </c>
      <c r="H47">
        <v>-1.3396743303151709E-2</v>
      </c>
      <c r="I47">
        <v>-2.5614713463958771E-2</v>
      </c>
      <c r="K47" t="s">
        <v>46</v>
      </c>
      <c r="L47" s="8">
        <f>L43+L40*L45</f>
        <v>8.1997567284935624E-2</v>
      </c>
    </row>
    <row r="48" spans="1:15" x14ac:dyDescent="0.3">
      <c r="A48" s="2">
        <v>45626</v>
      </c>
      <c r="B48">
        <v>24.4415168762207</v>
      </c>
      <c r="C48">
        <v>6032.3798828125</v>
      </c>
      <c r="D48">
        <v>4.33</v>
      </c>
      <c r="E48">
        <v>5.7301295482098842E-2</v>
      </c>
      <c r="F48">
        <v>-5.9466199257122931E-2</v>
      </c>
      <c r="G48">
        <v>3.6083333333333332E-3</v>
      </c>
      <c r="H48">
        <v>5.3692962148765497E-2</v>
      </c>
      <c r="I48">
        <v>-6.307453259045627E-2</v>
      </c>
    </row>
    <row r="49" spans="1:12" x14ac:dyDescent="0.3">
      <c r="A49" s="2">
        <v>45657</v>
      </c>
      <c r="B49">
        <v>24.739925384521481</v>
      </c>
      <c r="C49">
        <v>5881.6298828125</v>
      </c>
      <c r="D49">
        <v>4.2300000000000004</v>
      </c>
      <c r="E49">
        <v>-2.4990137048483629E-2</v>
      </c>
      <c r="F49">
        <v>1.220908300462753E-2</v>
      </c>
      <c r="G49">
        <v>3.5249999999999999E-3</v>
      </c>
      <c r="H49">
        <v>-2.851513704848363E-2</v>
      </c>
      <c r="I49">
        <v>8.6840830046275297E-3</v>
      </c>
      <c r="K49" t="s">
        <v>47</v>
      </c>
      <c r="L49" s="7">
        <v>0.6653</v>
      </c>
    </row>
    <row r="50" spans="1:12" x14ac:dyDescent="0.3">
      <c r="A50" s="2">
        <v>45688</v>
      </c>
      <c r="B50">
        <v>25.13945198059082</v>
      </c>
      <c r="C50">
        <v>6040.52978515625</v>
      </c>
      <c r="D50">
        <v>4.18</v>
      </c>
      <c r="E50">
        <v>2.70163042404441E-2</v>
      </c>
      <c r="F50">
        <v>1.6149062289383401E-2</v>
      </c>
      <c r="G50">
        <v>3.4833333333333331E-3</v>
      </c>
      <c r="H50">
        <v>2.3532970907110769E-2</v>
      </c>
      <c r="I50">
        <v>1.266572895605006E-2</v>
      </c>
      <c r="K50" t="s">
        <v>48</v>
      </c>
      <c r="L50" s="7">
        <v>5.7700000000000001E-2</v>
      </c>
    </row>
    <row r="51" spans="1:12" x14ac:dyDescent="0.3">
      <c r="A51" s="2">
        <v>45716</v>
      </c>
      <c r="B51">
        <v>25.054136276245121</v>
      </c>
      <c r="C51">
        <v>5954.5</v>
      </c>
      <c r="D51">
        <v>4.1900000000000004</v>
      </c>
      <c r="E51">
        <v>-1.424209269982513E-2</v>
      </c>
      <c r="F51">
        <v>-3.3936978583133381E-3</v>
      </c>
      <c r="G51">
        <v>3.4916666666666668E-3</v>
      </c>
      <c r="H51">
        <v>-1.773375936649179E-2</v>
      </c>
      <c r="I51">
        <v>-6.8853645249800054E-3</v>
      </c>
      <c r="K51" t="s">
        <v>49</v>
      </c>
      <c r="L51" s="9">
        <f>L49/(L49+1)</f>
        <v>0.39950759622890769</v>
      </c>
    </row>
    <row r="52" spans="1:12" x14ac:dyDescent="0.3">
      <c r="A52" s="2">
        <v>45747</v>
      </c>
      <c r="B52">
        <v>24.020877838134769</v>
      </c>
      <c r="C52">
        <v>5611.85009765625</v>
      </c>
      <c r="D52">
        <v>4.0599999999999996</v>
      </c>
      <c r="E52">
        <v>-5.7544697681375379E-2</v>
      </c>
      <c r="F52">
        <v>-4.1241032088183638E-2</v>
      </c>
      <c r="G52">
        <v>3.3833333333333328E-3</v>
      </c>
      <c r="H52">
        <v>-6.0928031014708707E-2</v>
      </c>
      <c r="I52">
        <v>-4.4624365421516973E-2</v>
      </c>
      <c r="K52" t="s">
        <v>50</v>
      </c>
      <c r="L52">
        <f>1/(1+L49)</f>
        <v>0.60049240377109225</v>
      </c>
    </row>
    <row r="53" spans="1:12" x14ac:dyDescent="0.3">
      <c r="A53" s="2">
        <v>45777</v>
      </c>
      <c r="B53">
        <v>23.139289855957031</v>
      </c>
      <c r="C53">
        <v>5569.06005859375</v>
      </c>
      <c r="D53">
        <v>3.95</v>
      </c>
      <c r="E53">
        <v>-7.6249433462898253E-3</v>
      </c>
      <c r="F53">
        <v>-3.6700906108358522E-2</v>
      </c>
      <c r="G53">
        <v>3.2916666666666671E-3</v>
      </c>
      <c r="H53">
        <v>-1.091661001295649E-2</v>
      </c>
      <c r="I53">
        <v>-3.9992572775025187E-2</v>
      </c>
      <c r="K53" t="s">
        <v>51</v>
      </c>
      <c r="L53" s="9">
        <f>L51+L52</f>
        <v>1</v>
      </c>
    </row>
    <row r="54" spans="1:12" x14ac:dyDescent="0.3">
      <c r="A54" s="2">
        <v>45808</v>
      </c>
      <c r="B54">
        <v>22.691976547241211</v>
      </c>
      <c r="C54">
        <v>5911.68994140625</v>
      </c>
      <c r="D54">
        <v>4.09</v>
      </c>
      <c r="E54">
        <v>6.1523826140782889E-2</v>
      </c>
      <c r="F54">
        <v>-1.933133261653075E-2</v>
      </c>
      <c r="G54">
        <v>3.4083333333333331E-3</v>
      </c>
      <c r="H54">
        <v>5.8115492807449563E-2</v>
      </c>
      <c r="I54">
        <v>-2.2739665949864079E-2</v>
      </c>
      <c r="K54" t="s">
        <v>29</v>
      </c>
      <c r="L54">
        <f>L51*L50*(1-L55)+L52*L47</f>
        <v>6.7449671041215173E-2</v>
      </c>
    </row>
    <row r="55" spans="1:12" x14ac:dyDescent="0.3">
      <c r="A55" s="2">
        <v>45838</v>
      </c>
      <c r="B55">
        <v>23.416498184204102</v>
      </c>
      <c r="C55">
        <v>6204.9501953125</v>
      </c>
      <c r="D55">
        <v>4.0599999999999996</v>
      </c>
      <c r="E55">
        <v>4.9606839467715817E-2</v>
      </c>
      <c r="F55">
        <v>3.1928538065185703E-2</v>
      </c>
      <c r="G55">
        <v>3.3833333333333328E-3</v>
      </c>
      <c r="H55">
        <v>4.6223506134382489E-2</v>
      </c>
      <c r="I55">
        <v>2.8545204731852361E-2</v>
      </c>
      <c r="K55" t="s">
        <v>52</v>
      </c>
      <c r="L55">
        <v>0.21</v>
      </c>
    </row>
    <row r="56" spans="1:12" x14ac:dyDescent="0.3">
      <c r="A56" s="2">
        <v>45869</v>
      </c>
      <c r="B56">
        <v>22.886995315551761</v>
      </c>
      <c r="C56">
        <v>6339.39013671875</v>
      </c>
      <c r="D56">
        <v>4.08</v>
      </c>
      <c r="E56">
        <v>2.1666562530640698E-2</v>
      </c>
      <c r="F56">
        <v>-2.2612384844524991E-2</v>
      </c>
      <c r="G56">
        <v>3.3999999999999998E-3</v>
      </c>
      <c r="H56">
        <v>1.8266562530640702E-2</v>
      </c>
      <c r="I56">
        <v>-2.6012384844524991E-2</v>
      </c>
    </row>
    <row r="57" spans="1:12" x14ac:dyDescent="0.3">
      <c r="A57" s="2">
        <v>45900</v>
      </c>
      <c r="B57">
        <v>24.331558227539059</v>
      </c>
      <c r="C57">
        <v>6460.259765625</v>
      </c>
      <c r="D57">
        <v>3.89</v>
      </c>
      <c r="E57">
        <v>1.9066444295036119E-2</v>
      </c>
      <c r="F57">
        <v>6.3117193500962676E-2</v>
      </c>
      <c r="G57">
        <v>3.241666666666667E-3</v>
      </c>
      <c r="H57">
        <v>1.5824777628369459E-2</v>
      </c>
      <c r="I57">
        <v>5.9875526834296013E-2</v>
      </c>
    </row>
    <row r="58" spans="1:12" x14ac:dyDescent="0.3">
      <c r="A58" s="2">
        <v>45930</v>
      </c>
      <c r="B58">
        <v>25.03909873962402</v>
      </c>
      <c r="C58">
        <v>6688.4599609375</v>
      </c>
      <c r="D58">
        <v>3.66</v>
      </c>
      <c r="E58">
        <v>3.5323687218701487E-2</v>
      </c>
      <c r="F58">
        <v>2.9079128655399741E-2</v>
      </c>
      <c r="G58">
        <v>3.0500000000000002E-3</v>
      </c>
      <c r="H58">
        <v>3.2273687218701497E-2</v>
      </c>
      <c r="I58">
        <v>2.602912865539974E-2</v>
      </c>
    </row>
    <row r="59" spans="1:12" x14ac:dyDescent="0.3">
      <c r="A59" s="2">
        <v>45961</v>
      </c>
      <c r="B59">
        <v>24.22346115112305</v>
      </c>
      <c r="C59">
        <v>6840.2001953125</v>
      </c>
      <c r="D59">
        <v>3.61</v>
      </c>
      <c r="E59">
        <v>2.26868719049238E-2</v>
      </c>
      <c r="F59">
        <v>-3.2574558572678991E-2</v>
      </c>
      <c r="G59">
        <v>3.0083333333333329E-3</v>
      </c>
      <c r="H59">
        <v>1.9678538571590461E-2</v>
      </c>
      <c r="I59">
        <v>-3.5582891906012333E-2</v>
      </c>
    </row>
    <row r="60" spans="1:12" x14ac:dyDescent="0.3">
      <c r="A60" s="2">
        <v>45991</v>
      </c>
      <c r="B60">
        <v>25.739999771118161</v>
      </c>
      <c r="C60">
        <v>6849.08984375</v>
      </c>
      <c r="D60">
        <v>3.66</v>
      </c>
      <c r="E60">
        <v>1.2996181666717901E-3</v>
      </c>
      <c r="F60">
        <v>6.2606190359580705E-2</v>
      </c>
      <c r="G60">
        <v>3.0500000000000002E-3</v>
      </c>
      <c r="H60">
        <v>-1.7503818333282099E-3</v>
      </c>
      <c r="I60">
        <v>5.9556190359580707E-2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"/>
  <sheetViews>
    <sheetView topLeftCell="J1" workbookViewId="0">
      <selection sqref="A1:XFD1048576"/>
    </sheetView>
  </sheetViews>
  <sheetFormatPr defaultRowHeight="14.4" x14ac:dyDescent="0.3"/>
  <cols>
    <col min="1" max="1" width="12.6640625" bestFit="1" customWidth="1"/>
    <col min="2" max="2" width="11.77734375" bestFit="1" customWidth="1"/>
    <col min="3" max="3" width="12" bestFit="1" customWidth="1"/>
    <col min="4" max="4" width="12.6640625" bestFit="1" customWidth="1"/>
    <col min="5" max="5" width="12" bestFit="1" customWidth="1"/>
    <col min="6" max="6" width="15.77734375" bestFit="1" customWidth="1"/>
    <col min="7" max="7" width="14.5546875" bestFit="1" customWidth="1"/>
    <col min="8" max="8" width="22.77734375" bestFit="1" customWidth="1"/>
    <col min="9" max="9" width="13.21875" bestFit="1" customWidth="1"/>
    <col min="10" max="10" width="21.44140625" bestFit="1" customWidth="1"/>
    <col min="11" max="11" width="21" bestFit="1" customWidth="1"/>
    <col min="12" max="12" width="18.5546875" bestFit="1" customWidth="1"/>
    <col min="13" max="13" width="20.33203125" bestFit="1" customWidth="1"/>
    <col min="14" max="14" width="25" bestFit="1" customWidth="1"/>
  </cols>
  <sheetData>
    <row r="1" spans="1:14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</row>
    <row r="2" spans="1:14" x14ac:dyDescent="0.3">
      <c r="A2">
        <v>-4.8874870282653651E-3</v>
      </c>
      <c r="B2">
        <v>0.46768500011022601</v>
      </c>
      <c r="C2">
        <v>0.44061347211152119</v>
      </c>
      <c r="D2">
        <v>-6.4890930800503913E-3</v>
      </c>
      <c r="E2">
        <v>0.48340717187824839</v>
      </c>
      <c r="F2">
        <v>0.45549257392447701</v>
      </c>
      <c r="G2">
        <v>2.759887005649718E-3</v>
      </c>
      <c r="H2">
        <v>1.118600030802774E-2</v>
      </c>
      <c r="I2">
        <v>3.3118644067796611E-2</v>
      </c>
      <c r="J2">
        <v>0.1342320036963329</v>
      </c>
      <c r="K2">
        <v>8.0407845676813944E-2</v>
      </c>
      <c r="L2">
        <v>7.7670552530586912E-2</v>
      </c>
      <c r="M2">
        <v>8.1997567284935624E-2</v>
      </c>
      <c r="N2">
        <v>7.9175028503149919E-2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>
      <selection activeCell="E1" sqref="E1:E2"/>
    </sheetView>
  </sheetViews>
  <sheetFormatPr defaultRowHeight="14.4" x14ac:dyDescent="0.3"/>
  <cols>
    <col min="1" max="1" width="9" bestFit="1" customWidth="1"/>
    <col min="2" max="2" width="12" bestFit="1" customWidth="1"/>
    <col min="3" max="3" width="13.109375" bestFit="1" customWidth="1"/>
    <col min="4" max="4" width="12.5546875" bestFit="1" customWidth="1"/>
    <col min="5" max="5" width="13.6640625" bestFit="1" customWidth="1"/>
    <col min="6" max="6" width="12.109375" bestFit="1" customWidth="1"/>
    <col min="7" max="7" width="7.88671875" bestFit="1" customWidth="1"/>
    <col min="8" max="8" width="11" bestFit="1" customWidth="1"/>
  </cols>
  <sheetData>
    <row r="1" spans="1:8" x14ac:dyDescent="0.3">
      <c r="A1" s="1" t="s">
        <v>22</v>
      </c>
      <c r="B1" s="1" t="s">
        <v>23</v>
      </c>
      <c r="C1" s="1" t="s">
        <v>24</v>
      </c>
      <c r="D1" s="1" t="s">
        <v>25</v>
      </c>
      <c r="E1" s="10" t="s">
        <v>26</v>
      </c>
      <c r="F1" s="1" t="s">
        <v>27</v>
      </c>
      <c r="G1" s="1" t="s">
        <v>28</v>
      </c>
      <c r="H1" s="1" t="s">
        <v>29</v>
      </c>
    </row>
    <row r="2" spans="1:8" x14ac:dyDescent="0.3">
      <c r="A2">
        <v>0.66531000000000007</v>
      </c>
      <c r="B2">
        <v>0.39951120211852448</v>
      </c>
      <c r="C2">
        <v>0.60048879788147547</v>
      </c>
      <c r="D2">
        <v>1</v>
      </c>
      <c r="E2" s="11">
        <v>8.1997567284935624E-2</v>
      </c>
      <c r="F2">
        <v>5.7700000000000001E-2</v>
      </c>
      <c r="G2">
        <v>0.21</v>
      </c>
      <c r="H2">
        <v>6.7449539734305092E-2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"/>
  <sheetViews>
    <sheetView workbookViewId="0">
      <selection activeCell="E11" sqref="E11"/>
    </sheetView>
  </sheetViews>
  <sheetFormatPr defaultRowHeight="14.4" x14ac:dyDescent="0.3"/>
  <cols>
    <col min="1" max="1" width="12.5546875" bestFit="1" customWidth="1"/>
    <col min="3" max="3" width="11.109375" bestFit="1" customWidth="1"/>
  </cols>
  <sheetData>
    <row r="1" spans="1:3" x14ac:dyDescent="0.3">
      <c r="A1" s="1" t="s">
        <v>30</v>
      </c>
      <c r="B1" s="1" t="s">
        <v>31</v>
      </c>
      <c r="C1" t="s">
        <v>57</v>
      </c>
    </row>
    <row r="2" spans="1:3" x14ac:dyDescent="0.3">
      <c r="A2">
        <v>0</v>
      </c>
      <c r="B2">
        <v>-1000000</v>
      </c>
      <c r="C2">
        <f>B2/(1+B$9)^A2</f>
        <v>-1000000</v>
      </c>
    </row>
    <row r="3" spans="1:3" x14ac:dyDescent="0.3">
      <c r="A3">
        <v>1</v>
      </c>
      <c r="B3">
        <v>50000</v>
      </c>
      <c r="C3">
        <f t="shared" ref="C3:C7" si="0">B3/(1+B$9)^A3</f>
        <v>46840.601433322401</v>
      </c>
    </row>
    <row r="4" spans="1:3" x14ac:dyDescent="0.3">
      <c r="A4">
        <v>2</v>
      </c>
      <c r="B4">
        <v>50000</v>
      </c>
      <c r="C4">
        <f t="shared" si="0"/>
        <v>43880.838852707297</v>
      </c>
    </row>
    <row r="5" spans="1:3" x14ac:dyDescent="0.3">
      <c r="A5">
        <v>3</v>
      </c>
      <c r="B5">
        <v>50000</v>
      </c>
      <c r="C5">
        <f t="shared" si="0"/>
        <v>41108.097665190217</v>
      </c>
    </row>
    <row r="6" spans="1:3" x14ac:dyDescent="0.3">
      <c r="A6">
        <v>4</v>
      </c>
      <c r="B6">
        <v>50000</v>
      </c>
      <c r="C6">
        <f t="shared" si="0"/>
        <v>38510.56036834533</v>
      </c>
    </row>
    <row r="7" spans="1:3" x14ac:dyDescent="0.3">
      <c r="A7">
        <v>5</v>
      </c>
      <c r="B7">
        <v>1250000</v>
      </c>
      <c r="C7">
        <f t="shared" si="0"/>
        <v>901928.9045937825</v>
      </c>
    </row>
    <row r="8" spans="1:3" x14ac:dyDescent="0.3">
      <c r="C8" s="12">
        <f>SUM(C2:C7)</f>
        <v>72269.002913347795</v>
      </c>
    </row>
    <row r="9" spans="1:3" x14ac:dyDescent="0.3">
      <c r="A9" t="s">
        <v>29</v>
      </c>
      <c r="B9">
        <v>6.7449999999999996E-2</v>
      </c>
    </row>
    <row r="10" spans="1:3" x14ac:dyDescent="0.3">
      <c r="A10" t="s">
        <v>54</v>
      </c>
      <c r="B10">
        <v>0.05</v>
      </c>
    </row>
    <row r="11" spans="1:3" x14ac:dyDescent="0.3">
      <c r="A11" t="s">
        <v>55</v>
      </c>
      <c r="B11">
        <v>5</v>
      </c>
    </row>
    <row r="12" spans="1:3" x14ac:dyDescent="0.3">
      <c r="A12" t="s">
        <v>56</v>
      </c>
      <c r="B12">
        <v>1200000</v>
      </c>
    </row>
    <row r="14" spans="1:3" x14ac:dyDescent="0.3">
      <c r="A14" t="s">
        <v>58</v>
      </c>
      <c r="B14" s="13">
        <f>IRR(B2:B7,10%)</f>
        <v>8.3831838142124582E-2</v>
      </c>
    </row>
    <row r="16" spans="1:3" x14ac:dyDescent="0.3">
      <c r="A16" t="s">
        <v>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"/>
  <sheetViews>
    <sheetView workbookViewId="0">
      <selection sqref="A1:XFD1048576"/>
    </sheetView>
  </sheetViews>
  <sheetFormatPr defaultRowHeight="14.4" x14ac:dyDescent="0.3"/>
  <cols>
    <col min="1" max="1" width="11" bestFit="1" customWidth="1"/>
    <col min="2" max="3" width="12" bestFit="1" customWidth="1"/>
    <col min="4" max="4" width="16.109375" bestFit="1" customWidth="1"/>
    <col min="5" max="5" width="18.6640625" bestFit="1" customWidth="1"/>
    <col min="6" max="6" width="5.44140625" bestFit="1" customWidth="1"/>
    <col min="7" max="7" width="13.6640625" bestFit="1" customWidth="1"/>
  </cols>
  <sheetData>
    <row r="1" spans="1:7" x14ac:dyDescent="0.3">
      <c r="A1" s="1" t="s">
        <v>29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 x14ac:dyDescent="0.3">
      <c r="A2">
        <v>6.7449539734305092E-2</v>
      </c>
      <c r="B2">
        <v>72271.125029257499</v>
      </c>
      <c r="C2">
        <v>8.3831838142120585E-2</v>
      </c>
      <c r="D2">
        <v>1000000</v>
      </c>
      <c r="E2">
        <v>0.05</v>
      </c>
      <c r="F2">
        <v>5</v>
      </c>
      <c r="G2">
        <v>1200000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beta_summary</vt:lpstr>
      <vt:lpstr>wacc_summary</vt:lpstr>
      <vt:lpstr>crypto_cash_flows</vt:lpstr>
      <vt:lpstr>crypto_summary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Jacob Clement</cp:lastModifiedBy>
  <dcterms:created xsi:type="dcterms:W3CDTF">2025-12-09T22:09:56Z</dcterms:created>
  <dcterms:modified xsi:type="dcterms:W3CDTF">2025-12-09T22:42:51Z</dcterms:modified>
</cp:coreProperties>
</file>