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q\Documents\University of Montana\finance capstone\data\"/>
    </mc:Choice>
  </mc:AlternateContent>
  <xr:revisionPtr revIDLastSave="0" documentId="13_ncr:1_{F8287445-EE53-4806-AFF4-37F8D319B0CB}" xr6:coauthVersionLast="47" xr6:coauthVersionMax="47" xr10:uidLastSave="{00000000-0000-0000-0000-000000000000}"/>
  <bookViews>
    <workbookView xWindow="0" yWindow="360" windowWidth="23256" windowHeight="13896" activeTab="1" xr2:uid="{30C7707F-72F9-4D0A-AE51-09F5DE495A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2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X77" i="2"/>
  <c r="G77" i="2"/>
  <c r="X76" i="2"/>
  <c r="W76" i="2"/>
  <c r="N76" i="2"/>
  <c r="G76" i="2"/>
  <c r="G79" i="2" s="1"/>
  <c r="X75" i="2"/>
  <c r="W75" i="2"/>
  <c r="W77" i="2" s="1"/>
  <c r="N75" i="2"/>
  <c r="G75" i="2"/>
  <c r="AG4" i="2"/>
  <c r="AF5" i="1"/>
  <c r="AF4" i="1"/>
  <c r="AF3" i="1"/>
  <c r="N76" i="1"/>
  <c r="G77" i="1"/>
  <c r="AG3" i="2" l="1"/>
  <c r="AG5" i="2" s="1"/>
  <c r="G75" i="1"/>
  <c r="X76" i="1" s="1"/>
  <c r="G76" i="1"/>
  <c r="G79" i="1" s="1"/>
  <c r="N75" i="1"/>
  <c r="X75" i="1"/>
  <c r="X77" i="1" s="1"/>
  <c r="W75" i="1" l="1"/>
  <c r="W76" i="1"/>
  <c r="W7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Clement</author>
  </authors>
  <commentList>
    <comment ref="AA1" authorId="0" shapeId="0" xr:uid="{80B9E1A0-F6A8-48F8-8FF9-95D111D25F69}">
      <text>
        <r>
          <rPr>
            <b/>
            <sz val="9"/>
            <color indexed="81"/>
            <rFont val="Tahoma"/>
            <charset val="1"/>
          </rPr>
          <t>Jacob Clement:</t>
        </r>
        <r>
          <rPr>
            <sz val="9"/>
            <color indexed="81"/>
            <rFont val="Tahoma"/>
            <charset val="1"/>
          </rPr>
          <t xml:space="preserve">
these are not coming over in percent terms</t>
        </r>
      </text>
    </comment>
  </commentList>
</comments>
</file>

<file path=xl/sharedStrings.xml><?xml version="1.0" encoding="utf-8"?>
<sst xmlns="http://schemas.openxmlformats.org/spreadsheetml/2006/main" count="173" uniqueCount="82">
  <si>
    <t>Date</t>
  </si>
  <si>
    <t>Close_market</t>
  </si>
  <si>
    <t>High_market</t>
  </si>
  <si>
    <t>Low_market</t>
  </si>
  <si>
    <t>Open_market</t>
  </si>
  <si>
    <t>Volume_market</t>
  </si>
  <si>
    <t>Return_market</t>
  </si>
  <si>
    <t>3214.639892578125</t>
  </si>
  <si>
    <t>2954.219970703125</t>
  </si>
  <si>
    <t>2855.840087890625</t>
  </si>
  <si>
    <t>3235.659912109375</t>
  </si>
  <si>
    <t>2584.590087890625</t>
  </si>
  <si>
    <t>3136.719970703125</t>
  </si>
  <si>
    <t>2191.860107421875</t>
  </si>
  <si>
    <t>2974.280029296875</t>
  </si>
  <si>
    <t>2912.429931640625</t>
  </si>
  <si>
    <t>2954.860107421875</t>
  </si>
  <si>
    <t>2447.489990234375</t>
  </si>
  <si>
    <t>2766.639892578125</t>
  </si>
  <si>
    <t>2869.090087890625</t>
  </si>
  <si>
    <t>2965.659912109375</t>
  </si>
  <si>
    <t>3038.780029296875</t>
  </si>
  <si>
    <t>3279.989990234375</t>
  </si>
  <si>
    <t>3284.530029296875</t>
  </si>
  <si>
    <t>3288.260009765625</t>
  </si>
  <si>
    <t>3588.110107421875</t>
  </si>
  <si>
    <t>3209.449951171875</t>
  </si>
  <si>
    <t>3645.989990234375</t>
  </si>
  <si>
    <t>3279.739990234375</t>
  </si>
  <si>
    <t>3296.199951171875</t>
  </si>
  <si>
    <t>3756.070068359375</t>
  </si>
  <si>
    <t>3760.199951171875</t>
  </si>
  <si>
    <t>3714.239990234375</t>
  </si>
  <si>
    <t>3764.610107421875</t>
  </si>
  <si>
    <t>3950.429931640625</t>
  </si>
  <si>
    <t>3972.889892578125</t>
  </si>
  <si>
    <t>3994.409912109375</t>
  </si>
  <si>
    <t>3723.340087890625</t>
  </si>
  <si>
    <t>3842.510009765625</t>
  </si>
  <si>
    <t>3992.780029296875</t>
  </si>
  <si>
    <t>3810.320068359375</t>
  </si>
  <si>
    <t>3954.530029296875</t>
  </si>
  <si>
    <t>3609.780029296875</t>
  </si>
  <si>
    <t>4080.110107421875</t>
  </si>
  <si>
    <t>3764.489990234375</t>
  </si>
  <si>
    <t>4087.139892578125</t>
  </si>
  <si>
    <t>4070.070068359375</t>
  </si>
  <si>
    <t>3808.860107421875</t>
  </si>
  <si>
    <t>3963.340087890625</t>
  </si>
  <si>
    <t>4048.280029296875</t>
  </si>
  <si>
    <t>Close_PFE</t>
  </si>
  <si>
    <t>High_PFE</t>
  </si>
  <si>
    <t>Low_PFE</t>
  </si>
  <si>
    <t>Open_PFE</t>
  </si>
  <si>
    <t>Volume_PFE</t>
  </si>
  <si>
    <t>return_PFE</t>
  </si>
  <si>
    <t>3M_TBill_Yield_M</t>
  </si>
  <si>
    <t>1Y_Treasury_Yield_M</t>
  </si>
  <si>
    <t>3Y_Treasury_Yield_M</t>
  </si>
  <si>
    <t>5Y_Treasury_Yield_M</t>
  </si>
  <si>
    <t>10Y_Treasury_Yield_M</t>
  </si>
  <si>
    <t>20Y_Treasury_Yield_M</t>
  </si>
  <si>
    <t>30Y_Treasury_Yield_M</t>
  </si>
  <si>
    <t>(stock-stock(bar))^2</t>
  </si>
  <si>
    <t>(market-market(bar))^2</t>
  </si>
  <si>
    <t>mean_market_return</t>
  </si>
  <si>
    <t>mean_PFE_return</t>
  </si>
  <si>
    <t>sum</t>
  </si>
  <si>
    <t>count -1</t>
  </si>
  <si>
    <t>variance</t>
  </si>
  <si>
    <t>var</t>
  </si>
  <si>
    <t>covar</t>
  </si>
  <si>
    <t>beta</t>
  </si>
  <si>
    <t>3M_TBill_Yield_M/12</t>
  </si>
  <si>
    <t>1Y_Treasury_Yield_M/12</t>
  </si>
  <si>
    <t>3Y_Treasury_Yield_M/12</t>
  </si>
  <si>
    <t>excess market</t>
  </si>
  <si>
    <t>excess stock</t>
  </si>
  <si>
    <t>unconditional</t>
  </si>
  <si>
    <t>same numbers</t>
  </si>
  <si>
    <t>unconditional beta:</t>
  </si>
  <si>
    <t>gs1_m/12/100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</si>
</sst>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_);_(@_)"/>
    <numFmt numFmtId="169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2" applyNumberFormat="1" applyFont="1"/>
    <xf numFmtId="44" fontId="0" fillId="0" borderId="0" xfId="1" applyFont="1"/>
    <xf numFmtId="44" fontId="0" fillId="0" borderId="0" xfId="1" quotePrefix="1" applyFont="1"/>
    <xf numFmtId="165" fontId="0" fillId="0" borderId="0" xfId="1" applyNumberFormat="1" applyFont="1"/>
    <xf numFmtId="10" fontId="0" fillId="0" borderId="0" xfId="0" applyNumberFormat="1"/>
    <xf numFmtId="169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excess stock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760448822063708"/>
                  <c:y val="-3.42742053076698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Sheet1!$AC$2:$AC$493</c:f>
              <c:numCache>
                <c:formatCode>0.00%</c:formatCode>
                <c:ptCount val="492"/>
                <c:pt idx="0">
                  <c:v>-0.12829475948571409</c:v>
                </c:pt>
                <c:pt idx="1">
                  <c:v>-0.21077715030507138</c:v>
                </c:pt>
                <c:pt idx="2">
                  <c:v>-0.14928594907559511</c:v>
                </c:pt>
                <c:pt idx="3">
                  <c:v>0.11517737149861247</c:v>
                </c:pt>
                <c:pt idx="4">
                  <c:v>3.444848633222674E-2</c:v>
                </c:pt>
                <c:pt idx="5">
                  <c:v>5.0550631805909661E-3</c:v>
                </c:pt>
                <c:pt idx="6">
                  <c:v>4.4267988147110311E-2</c:v>
                </c:pt>
                <c:pt idx="7">
                  <c:v>6.1731333568384381E-2</c:v>
                </c:pt>
                <c:pt idx="8">
                  <c:v>-4.8394636845089753E-2</c:v>
                </c:pt>
                <c:pt idx="9">
                  <c:v>-3.5999119554713056E-2</c:v>
                </c:pt>
                <c:pt idx="10">
                  <c:v>0.10004563544385905</c:v>
                </c:pt>
                <c:pt idx="11">
                  <c:v>2.9621459093568635E-2</c:v>
                </c:pt>
                <c:pt idx="12">
                  <c:v>-1.7803327422111822E-2</c:v>
                </c:pt>
                <c:pt idx="13">
                  <c:v>2.2758118044116551E-2</c:v>
                </c:pt>
                <c:pt idx="14">
                  <c:v>3.9938632533163924E-2</c:v>
                </c:pt>
                <c:pt idx="15">
                  <c:v>5.0758654680893064E-2</c:v>
                </c:pt>
                <c:pt idx="16">
                  <c:v>3.8198220039403468E-3</c:v>
                </c:pt>
                <c:pt idx="17">
                  <c:v>1.8880676232501437E-2</c:v>
                </c:pt>
                <c:pt idx="18">
                  <c:v>1.8581388161721932E-2</c:v>
                </c:pt>
                <c:pt idx="19">
                  <c:v>2.4823749588771878E-2</c:v>
                </c:pt>
                <c:pt idx="20">
                  <c:v>-5.090250213523443E-2</c:v>
                </c:pt>
                <c:pt idx="21">
                  <c:v>6.4977169733939924E-2</c:v>
                </c:pt>
                <c:pt idx="22">
                  <c:v>-1.2500372851412811E-2</c:v>
                </c:pt>
                <c:pt idx="23">
                  <c:v>3.8612913462064816E-2</c:v>
                </c:pt>
                <c:pt idx="24">
                  <c:v>-6.5085165027393838E-2</c:v>
                </c:pt>
                <c:pt idx="25">
                  <c:v>-5.8860491945908269E-2</c:v>
                </c:pt>
                <c:pt idx="26">
                  <c:v>-8.9337829512039363E-4</c:v>
                </c:pt>
                <c:pt idx="27">
                  <c:v>-0.15129004513767638</c:v>
                </c:pt>
                <c:pt idx="28">
                  <c:v>-8.1613488962022016E-2</c:v>
                </c:pt>
                <c:pt idx="29">
                  <c:v>-0.20808666660049346</c:v>
                </c:pt>
                <c:pt idx="30">
                  <c:v>-9.471694160312337E-2</c:v>
                </c:pt>
                <c:pt idx="31">
                  <c:v>-0.26160679493966504</c:v>
                </c:pt>
                <c:pt idx="32">
                  <c:v>-0.35422900534660762</c:v>
                </c:pt>
                <c:pt idx="33">
                  <c:v>-0.23013658616299099</c:v>
                </c:pt>
                <c:pt idx="34">
                  <c:v>-0.2920804399808416</c:v>
                </c:pt>
                <c:pt idx="35">
                  <c:v>-0.41313814074139604</c:v>
                </c:pt>
                <c:pt idx="36">
                  <c:v>-0.31658047549865437</c:v>
                </c:pt>
                <c:pt idx="37">
                  <c:v>-0.41361249393181865</c:v>
                </c:pt>
                <c:pt idx="38">
                  <c:v>-0.35578172075622444</c:v>
                </c:pt>
                <c:pt idx="39">
                  <c:v>-0.39535765833751885</c:v>
                </c:pt>
                <c:pt idx="40">
                  <c:v>-0.42585098596514032</c:v>
                </c:pt>
                <c:pt idx="41">
                  <c:v>-0.3652725350957654</c:v>
                </c:pt>
                <c:pt idx="42">
                  <c:v>-0.40636106764498903</c:v>
                </c:pt>
                <c:pt idx="43">
                  <c:v>-0.45938305673752072</c:v>
                </c:pt>
                <c:pt idx="44">
                  <c:v>-0.4920527007989583</c:v>
                </c:pt>
                <c:pt idx="45">
                  <c:v>-0.46697968873798301</c:v>
                </c:pt>
                <c:pt idx="46">
                  <c:v>-0.34998739788469663</c:v>
                </c:pt>
                <c:pt idx="47">
                  <c:v>-0.39243743551030658</c:v>
                </c:pt>
                <c:pt idx="48">
                  <c:v>-0.41910429240100844</c:v>
                </c:pt>
                <c:pt idx="49">
                  <c:v>-0.38494602604294359</c:v>
                </c:pt>
                <c:pt idx="50">
                  <c:v>-0.40564788675132385</c:v>
                </c:pt>
                <c:pt idx="51">
                  <c:v>-0.47828173840456545</c:v>
                </c:pt>
                <c:pt idx="52">
                  <c:v>-0.38947880984880096</c:v>
                </c:pt>
                <c:pt idx="53">
                  <c:v>-0.40199686538358348</c:v>
                </c:pt>
                <c:pt idx="54">
                  <c:v>-0.4220120164454646</c:v>
                </c:pt>
                <c:pt idx="55">
                  <c:v>-0.39799862639670303</c:v>
                </c:pt>
                <c:pt idx="56">
                  <c:v>-0.37313644924273209</c:v>
                </c:pt>
                <c:pt idx="57">
                  <c:v>-0.38573007663648501</c:v>
                </c:pt>
                <c:pt idx="58">
                  <c:v>-0.31103203785123451</c:v>
                </c:pt>
                <c:pt idx="59">
                  <c:v>-0.38082347038181691</c:v>
                </c:pt>
                <c:pt idx="60">
                  <c:v>-0.32381702909288923</c:v>
                </c:pt>
                <c:pt idx="61">
                  <c:v>-0.36590875936649175</c:v>
                </c:pt>
                <c:pt idx="62">
                  <c:v>-0.40754469768137547</c:v>
                </c:pt>
                <c:pt idx="63">
                  <c:v>-0.35845827667962316</c:v>
                </c:pt>
                <c:pt idx="64">
                  <c:v>-0.2926428405258838</c:v>
                </c:pt>
                <c:pt idx="65">
                  <c:v>-0.30289316053228427</c:v>
                </c:pt>
                <c:pt idx="66">
                  <c:v>-0.33250010413602593</c:v>
                </c:pt>
                <c:pt idx="67">
                  <c:v>-0.32426688903829715</c:v>
                </c:pt>
                <c:pt idx="68">
                  <c:v>-0.29134297944796506</c:v>
                </c:pt>
                <c:pt idx="69">
                  <c:v>-0.29564646142840961</c:v>
                </c:pt>
                <c:pt idx="70">
                  <c:v>-0.31370038183332821</c:v>
                </c:pt>
              </c:numCache>
            </c:numRef>
          </c:xVal>
          <c:yVal>
            <c:numRef>
              <c:f>Sheet1!$AD$2:$AD$493</c:f>
              <c:numCache>
                <c:formatCode>0.00%</c:formatCode>
                <c:ptCount val="492"/>
                <c:pt idx="0">
                  <c:v>-0.17618169788397942</c:v>
                </c:pt>
                <c:pt idx="1">
                  <c:v>-0.22007731598122129</c:v>
                </c:pt>
                <c:pt idx="2">
                  <c:v>-4.7505991398791726E-2</c:v>
                </c:pt>
                <c:pt idx="3">
                  <c:v>0.16357837688425667</c:v>
                </c:pt>
                <c:pt idx="4">
                  <c:v>-1.526510967482388E-2</c:v>
                </c:pt>
                <c:pt idx="5">
                  <c:v>-0.14855493534332662</c:v>
                </c:pt>
                <c:pt idx="6">
                  <c:v>0.16592484029264898</c:v>
                </c:pt>
                <c:pt idx="7">
                  <c:v>-1.6666190534492507E-2</c:v>
                </c:pt>
                <c:pt idx="8">
                  <c:v>-3.8010248371458055E-2</c:v>
                </c:pt>
                <c:pt idx="9">
                  <c:v>-4.157576189688101E-2</c:v>
                </c:pt>
                <c:pt idx="10">
                  <c:v>0.130570649829364</c:v>
                </c:pt>
                <c:pt idx="11">
                  <c:v>-3.6772900173614398E-2</c:v>
                </c:pt>
                <c:pt idx="12">
                  <c:v>-3.1388112463695696E-2</c:v>
                </c:pt>
                <c:pt idx="13">
                  <c:v>-6.0315845202259279E-2</c:v>
                </c:pt>
                <c:pt idx="14">
                  <c:v>7.9315394628591843E-2</c:v>
                </c:pt>
                <c:pt idx="15">
                  <c:v>6.5128688298556781E-2</c:v>
                </c:pt>
                <c:pt idx="16">
                  <c:v>4.0334463568861604E-4</c:v>
                </c:pt>
                <c:pt idx="17">
                  <c:v>1.7731756630754877E-2</c:v>
                </c:pt>
                <c:pt idx="18">
                  <c:v>8.904083247933052E-2</c:v>
                </c:pt>
                <c:pt idx="19">
                  <c:v>8.1730556286152486E-2</c:v>
                </c:pt>
                <c:pt idx="20">
                  <c:v>-6.9754295838998809E-2</c:v>
                </c:pt>
                <c:pt idx="21">
                  <c:v>1.2806711163318343E-2</c:v>
                </c:pt>
                <c:pt idx="22">
                  <c:v>0.22422802221441315</c:v>
                </c:pt>
                <c:pt idx="23">
                  <c:v>0.10366072733868335</c:v>
                </c:pt>
                <c:pt idx="24">
                  <c:v>-0.12020555763825741</c:v>
                </c:pt>
                <c:pt idx="25">
                  <c:v>-0.12985532093467311</c:v>
                </c:pt>
                <c:pt idx="26">
                  <c:v>6.623072954194853E-2</c:v>
                </c:pt>
                <c:pt idx="27">
                  <c:v>-0.11548722773867393</c:v>
                </c:pt>
                <c:pt idx="28">
                  <c:v>-7.6167512468935938E-4</c:v>
                </c:pt>
                <c:pt idx="29">
                  <c:v>-0.12760627702884014</c:v>
                </c:pt>
                <c:pt idx="30">
                  <c:v>-0.2224536500681292</c:v>
                </c:pt>
                <c:pt idx="31">
                  <c:v>-0.31675208246302577</c:v>
                </c:pt>
                <c:pt idx="32">
                  <c:v>-0.29333394221572129</c:v>
                </c:pt>
                <c:pt idx="33">
                  <c:v>-0.24624288329790273</c:v>
                </c:pt>
                <c:pt idx="34">
                  <c:v>-0.2689270306298216</c:v>
                </c:pt>
                <c:pt idx="35">
                  <c:v>-0.32326363839868055</c:v>
                </c:pt>
                <c:pt idx="36">
                  <c:v>-0.51650658649558823</c:v>
                </c:pt>
                <c:pt idx="37">
                  <c:v>-0.46036109691932736</c:v>
                </c:pt>
                <c:pt idx="38">
                  <c:v>-0.38516429668054292</c:v>
                </c:pt>
                <c:pt idx="39">
                  <c:v>-0.45681355107707022</c:v>
                </c:pt>
                <c:pt idx="40">
                  <c:v>-0.45070406738236574</c:v>
                </c:pt>
                <c:pt idx="41">
                  <c:v>-0.45480515238335989</c:v>
                </c:pt>
                <c:pt idx="42">
                  <c:v>-0.45440306869888303</c:v>
                </c:pt>
                <c:pt idx="43">
                  <c:v>-0.44959281445497368</c:v>
                </c:pt>
                <c:pt idx="44">
                  <c:v>-0.50579815175942144</c:v>
                </c:pt>
                <c:pt idx="45">
                  <c:v>-0.52368562937309426</c:v>
                </c:pt>
                <c:pt idx="46">
                  <c:v>-0.44211164357183175</c:v>
                </c:pt>
                <c:pt idx="47">
                  <c:v>-0.47906365782325311</c:v>
                </c:pt>
                <c:pt idx="48">
                  <c:v>-0.49439582086311828</c:v>
                </c:pt>
                <c:pt idx="49">
                  <c:v>-0.44110954094039267</c:v>
                </c:pt>
                <c:pt idx="50">
                  <c:v>-0.39186238020621805</c:v>
                </c:pt>
                <c:pt idx="51">
                  <c:v>-0.51342358285960077</c:v>
                </c:pt>
                <c:pt idx="52">
                  <c:v>-0.3188425335766093</c:v>
                </c:pt>
                <c:pt idx="53">
                  <c:v>-0.44567018776925749</c:v>
                </c:pt>
                <c:pt idx="54">
                  <c:v>-0.341839308041752</c:v>
                </c:pt>
                <c:pt idx="55">
                  <c:v>-0.45752580354228273</c:v>
                </c:pt>
                <c:pt idx="56">
                  <c:v>-0.39574626464032636</c:v>
                </c:pt>
                <c:pt idx="57">
                  <c:v>-0.39794811857081391</c:v>
                </c:pt>
                <c:pt idx="58">
                  <c:v>-0.44218491762985246</c:v>
                </c:pt>
                <c:pt idx="59">
                  <c:v>-0.32790197469335086</c:v>
                </c:pt>
                <c:pt idx="60">
                  <c:v>-0.35121025551891155</c:v>
                </c:pt>
                <c:pt idx="61">
                  <c:v>-0.33858433214113126</c:v>
                </c:pt>
                <c:pt idx="62">
                  <c:v>-0.39124103208818556</c:v>
                </c:pt>
                <c:pt idx="63">
                  <c:v>-0.38753423944169063</c:v>
                </c:pt>
                <c:pt idx="64">
                  <c:v>-0.39185617506997589</c:v>
                </c:pt>
                <c:pt idx="65">
                  <c:v>-0.30088516975923757</c:v>
                </c:pt>
                <c:pt idx="66">
                  <c:v>-0.39335803516915535</c:v>
                </c:pt>
                <c:pt idx="67">
                  <c:v>-0.2618717973694194</c:v>
                </c:pt>
                <c:pt idx="68">
                  <c:v>-0.29758753801126514</c:v>
                </c:pt>
                <c:pt idx="69">
                  <c:v>-0.35090789190601324</c:v>
                </c:pt>
                <c:pt idx="70">
                  <c:v>-0.27078095238845162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6-4E8A-B903-8CFFAFF6A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10079"/>
        <c:axId val="1651311039"/>
      </c:scatterChart>
      <c:valAx>
        <c:axId val="165131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1039"/>
        <c:crosses val="autoZero"/>
        <c:crossBetween val="midCat"/>
      </c:valAx>
      <c:valAx>
        <c:axId val="16513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excess stock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34424118037876844"/>
                  <c:y val="-6.64574219889180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Sheet1!$AC$2:$AC$493</c:f>
              <c:numCache>
                <c:formatCode>0.00%</c:formatCode>
                <c:ptCount val="492"/>
                <c:pt idx="0">
                  <c:v>-0.12829475948571409</c:v>
                </c:pt>
                <c:pt idx="1">
                  <c:v>-0.21077715030507138</c:v>
                </c:pt>
                <c:pt idx="2">
                  <c:v>-0.14928594907559511</c:v>
                </c:pt>
                <c:pt idx="3">
                  <c:v>0.11517737149861247</c:v>
                </c:pt>
                <c:pt idx="4">
                  <c:v>3.444848633222674E-2</c:v>
                </c:pt>
                <c:pt idx="5">
                  <c:v>5.0550631805909661E-3</c:v>
                </c:pt>
                <c:pt idx="6">
                  <c:v>4.4267988147110311E-2</c:v>
                </c:pt>
                <c:pt idx="7">
                  <c:v>6.1731333568384381E-2</c:v>
                </c:pt>
                <c:pt idx="8">
                  <c:v>-4.8394636845089753E-2</c:v>
                </c:pt>
                <c:pt idx="9">
                  <c:v>-3.5999119554713056E-2</c:v>
                </c:pt>
                <c:pt idx="10">
                  <c:v>0.10004563544385905</c:v>
                </c:pt>
                <c:pt idx="11">
                  <c:v>2.9621459093568635E-2</c:v>
                </c:pt>
                <c:pt idx="12">
                  <c:v>-1.7803327422111822E-2</c:v>
                </c:pt>
                <c:pt idx="13">
                  <c:v>2.2758118044116551E-2</c:v>
                </c:pt>
                <c:pt idx="14">
                  <c:v>3.9938632533163924E-2</c:v>
                </c:pt>
                <c:pt idx="15">
                  <c:v>5.0758654680893064E-2</c:v>
                </c:pt>
                <c:pt idx="16">
                  <c:v>3.8198220039403468E-3</c:v>
                </c:pt>
                <c:pt idx="17">
                  <c:v>1.8880676232501437E-2</c:v>
                </c:pt>
                <c:pt idx="18">
                  <c:v>1.8581388161721932E-2</c:v>
                </c:pt>
                <c:pt idx="19">
                  <c:v>2.4823749588771878E-2</c:v>
                </c:pt>
                <c:pt idx="20">
                  <c:v>-5.090250213523443E-2</c:v>
                </c:pt>
                <c:pt idx="21">
                  <c:v>6.4977169733939924E-2</c:v>
                </c:pt>
                <c:pt idx="22">
                  <c:v>-1.2500372851412811E-2</c:v>
                </c:pt>
                <c:pt idx="23">
                  <c:v>3.8612913462064816E-2</c:v>
                </c:pt>
                <c:pt idx="24">
                  <c:v>-6.5085165027393838E-2</c:v>
                </c:pt>
                <c:pt idx="25">
                  <c:v>-5.8860491945908269E-2</c:v>
                </c:pt>
                <c:pt idx="26">
                  <c:v>-8.9337829512039363E-4</c:v>
                </c:pt>
                <c:pt idx="27">
                  <c:v>-0.15129004513767638</c:v>
                </c:pt>
                <c:pt idx="28">
                  <c:v>-8.1613488962022016E-2</c:v>
                </c:pt>
                <c:pt idx="29">
                  <c:v>-0.20808666660049346</c:v>
                </c:pt>
                <c:pt idx="30">
                  <c:v>-9.471694160312337E-2</c:v>
                </c:pt>
                <c:pt idx="31">
                  <c:v>-0.26160679493966504</c:v>
                </c:pt>
                <c:pt idx="32">
                  <c:v>-0.35422900534660762</c:v>
                </c:pt>
                <c:pt idx="33">
                  <c:v>-0.23013658616299099</c:v>
                </c:pt>
                <c:pt idx="34">
                  <c:v>-0.2920804399808416</c:v>
                </c:pt>
                <c:pt idx="35">
                  <c:v>-0.41313814074139604</c:v>
                </c:pt>
                <c:pt idx="36">
                  <c:v>-0.31658047549865437</c:v>
                </c:pt>
                <c:pt idx="37">
                  <c:v>-0.41361249393181865</c:v>
                </c:pt>
                <c:pt idx="38">
                  <c:v>-0.35578172075622444</c:v>
                </c:pt>
                <c:pt idx="39">
                  <c:v>-0.39535765833751885</c:v>
                </c:pt>
                <c:pt idx="40">
                  <c:v>-0.42585098596514032</c:v>
                </c:pt>
                <c:pt idx="41">
                  <c:v>-0.3652725350957654</c:v>
                </c:pt>
                <c:pt idx="42">
                  <c:v>-0.40636106764498903</c:v>
                </c:pt>
                <c:pt idx="43">
                  <c:v>-0.45938305673752072</c:v>
                </c:pt>
                <c:pt idx="44">
                  <c:v>-0.4920527007989583</c:v>
                </c:pt>
                <c:pt idx="45">
                  <c:v>-0.46697968873798301</c:v>
                </c:pt>
                <c:pt idx="46">
                  <c:v>-0.34998739788469663</c:v>
                </c:pt>
                <c:pt idx="47">
                  <c:v>-0.39243743551030658</c:v>
                </c:pt>
                <c:pt idx="48">
                  <c:v>-0.41910429240100844</c:v>
                </c:pt>
                <c:pt idx="49">
                  <c:v>-0.38494602604294359</c:v>
                </c:pt>
                <c:pt idx="50">
                  <c:v>-0.40564788675132385</c:v>
                </c:pt>
                <c:pt idx="51">
                  <c:v>-0.47828173840456545</c:v>
                </c:pt>
                <c:pt idx="52">
                  <c:v>-0.38947880984880096</c:v>
                </c:pt>
                <c:pt idx="53">
                  <c:v>-0.40199686538358348</c:v>
                </c:pt>
                <c:pt idx="54">
                  <c:v>-0.4220120164454646</c:v>
                </c:pt>
                <c:pt idx="55">
                  <c:v>-0.39799862639670303</c:v>
                </c:pt>
                <c:pt idx="56">
                  <c:v>-0.37313644924273209</c:v>
                </c:pt>
                <c:pt idx="57">
                  <c:v>-0.38573007663648501</c:v>
                </c:pt>
                <c:pt idx="58">
                  <c:v>-0.31103203785123451</c:v>
                </c:pt>
                <c:pt idx="59">
                  <c:v>-0.38082347038181691</c:v>
                </c:pt>
                <c:pt idx="60">
                  <c:v>-0.32381702909288923</c:v>
                </c:pt>
                <c:pt idx="61">
                  <c:v>-0.36590875936649175</c:v>
                </c:pt>
                <c:pt idx="62">
                  <c:v>-0.40754469768137547</c:v>
                </c:pt>
                <c:pt idx="63">
                  <c:v>-0.35845827667962316</c:v>
                </c:pt>
                <c:pt idx="64">
                  <c:v>-0.2926428405258838</c:v>
                </c:pt>
                <c:pt idx="65">
                  <c:v>-0.30289316053228427</c:v>
                </c:pt>
                <c:pt idx="66">
                  <c:v>-0.33250010413602593</c:v>
                </c:pt>
                <c:pt idx="67">
                  <c:v>-0.32426688903829715</c:v>
                </c:pt>
                <c:pt idx="68">
                  <c:v>-0.29134297944796506</c:v>
                </c:pt>
                <c:pt idx="69">
                  <c:v>-0.29564646142840961</c:v>
                </c:pt>
                <c:pt idx="70">
                  <c:v>-0.31370038183332821</c:v>
                </c:pt>
              </c:numCache>
            </c:numRef>
          </c:xVal>
          <c:yVal>
            <c:numRef>
              <c:f>Sheet1!$AD$2:$AD$493</c:f>
              <c:numCache>
                <c:formatCode>0.00%</c:formatCode>
                <c:ptCount val="492"/>
                <c:pt idx="0">
                  <c:v>-0.17618169788397942</c:v>
                </c:pt>
                <c:pt idx="1">
                  <c:v>-0.22007731598122129</c:v>
                </c:pt>
                <c:pt idx="2">
                  <c:v>-4.7505991398791726E-2</c:v>
                </c:pt>
                <c:pt idx="3">
                  <c:v>0.16357837688425667</c:v>
                </c:pt>
                <c:pt idx="4">
                  <c:v>-1.526510967482388E-2</c:v>
                </c:pt>
                <c:pt idx="5">
                  <c:v>-0.14855493534332662</c:v>
                </c:pt>
                <c:pt idx="6">
                  <c:v>0.16592484029264898</c:v>
                </c:pt>
                <c:pt idx="7">
                  <c:v>-1.6666190534492507E-2</c:v>
                </c:pt>
                <c:pt idx="8">
                  <c:v>-3.8010248371458055E-2</c:v>
                </c:pt>
                <c:pt idx="9">
                  <c:v>-4.157576189688101E-2</c:v>
                </c:pt>
                <c:pt idx="10">
                  <c:v>0.130570649829364</c:v>
                </c:pt>
                <c:pt idx="11">
                  <c:v>-3.6772900173614398E-2</c:v>
                </c:pt>
                <c:pt idx="12">
                  <c:v>-3.1388112463695696E-2</c:v>
                </c:pt>
                <c:pt idx="13">
                  <c:v>-6.0315845202259279E-2</c:v>
                </c:pt>
                <c:pt idx="14">
                  <c:v>7.9315394628591843E-2</c:v>
                </c:pt>
                <c:pt idx="15">
                  <c:v>6.5128688298556781E-2</c:v>
                </c:pt>
                <c:pt idx="16">
                  <c:v>4.0334463568861604E-4</c:v>
                </c:pt>
                <c:pt idx="17">
                  <c:v>1.7731756630754877E-2</c:v>
                </c:pt>
                <c:pt idx="18">
                  <c:v>8.904083247933052E-2</c:v>
                </c:pt>
                <c:pt idx="19">
                  <c:v>8.1730556286152486E-2</c:v>
                </c:pt>
                <c:pt idx="20">
                  <c:v>-6.9754295838998809E-2</c:v>
                </c:pt>
                <c:pt idx="21">
                  <c:v>1.2806711163318343E-2</c:v>
                </c:pt>
                <c:pt idx="22">
                  <c:v>0.22422802221441315</c:v>
                </c:pt>
                <c:pt idx="23">
                  <c:v>0.10366072733868335</c:v>
                </c:pt>
                <c:pt idx="24">
                  <c:v>-0.12020555763825741</c:v>
                </c:pt>
                <c:pt idx="25">
                  <c:v>-0.12985532093467311</c:v>
                </c:pt>
                <c:pt idx="26">
                  <c:v>6.623072954194853E-2</c:v>
                </c:pt>
                <c:pt idx="27">
                  <c:v>-0.11548722773867393</c:v>
                </c:pt>
                <c:pt idx="28">
                  <c:v>-7.6167512468935938E-4</c:v>
                </c:pt>
                <c:pt idx="29">
                  <c:v>-0.12760627702884014</c:v>
                </c:pt>
                <c:pt idx="30">
                  <c:v>-0.2224536500681292</c:v>
                </c:pt>
                <c:pt idx="31">
                  <c:v>-0.31675208246302577</c:v>
                </c:pt>
                <c:pt idx="32">
                  <c:v>-0.29333394221572129</c:v>
                </c:pt>
                <c:pt idx="33">
                  <c:v>-0.24624288329790273</c:v>
                </c:pt>
                <c:pt idx="34">
                  <c:v>-0.2689270306298216</c:v>
                </c:pt>
                <c:pt idx="35">
                  <c:v>-0.32326363839868055</c:v>
                </c:pt>
                <c:pt idx="36">
                  <c:v>-0.51650658649558823</c:v>
                </c:pt>
                <c:pt idx="37">
                  <c:v>-0.46036109691932736</c:v>
                </c:pt>
                <c:pt idx="38">
                  <c:v>-0.38516429668054292</c:v>
                </c:pt>
                <c:pt idx="39">
                  <c:v>-0.45681355107707022</c:v>
                </c:pt>
                <c:pt idx="40">
                  <c:v>-0.45070406738236574</c:v>
                </c:pt>
                <c:pt idx="41">
                  <c:v>-0.45480515238335989</c:v>
                </c:pt>
                <c:pt idx="42">
                  <c:v>-0.45440306869888303</c:v>
                </c:pt>
                <c:pt idx="43">
                  <c:v>-0.44959281445497368</c:v>
                </c:pt>
                <c:pt idx="44">
                  <c:v>-0.50579815175942144</c:v>
                </c:pt>
                <c:pt idx="45">
                  <c:v>-0.52368562937309426</c:v>
                </c:pt>
                <c:pt idx="46">
                  <c:v>-0.44211164357183175</c:v>
                </c:pt>
                <c:pt idx="47">
                  <c:v>-0.47906365782325311</c:v>
                </c:pt>
                <c:pt idx="48">
                  <c:v>-0.49439582086311828</c:v>
                </c:pt>
                <c:pt idx="49">
                  <c:v>-0.44110954094039267</c:v>
                </c:pt>
                <c:pt idx="50">
                  <c:v>-0.39186238020621805</c:v>
                </c:pt>
                <c:pt idx="51">
                  <c:v>-0.51342358285960077</c:v>
                </c:pt>
                <c:pt idx="52">
                  <c:v>-0.3188425335766093</c:v>
                </c:pt>
                <c:pt idx="53">
                  <c:v>-0.44567018776925749</c:v>
                </c:pt>
                <c:pt idx="54">
                  <c:v>-0.341839308041752</c:v>
                </c:pt>
                <c:pt idx="55">
                  <c:v>-0.45752580354228273</c:v>
                </c:pt>
                <c:pt idx="56">
                  <c:v>-0.39574626464032636</c:v>
                </c:pt>
                <c:pt idx="57">
                  <c:v>-0.39794811857081391</c:v>
                </c:pt>
                <c:pt idx="58">
                  <c:v>-0.44218491762985246</c:v>
                </c:pt>
                <c:pt idx="59">
                  <c:v>-0.32790197469335086</c:v>
                </c:pt>
                <c:pt idx="60">
                  <c:v>-0.35121025551891155</c:v>
                </c:pt>
                <c:pt idx="61">
                  <c:v>-0.33858433214113126</c:v>
                </c:pt>
                <c:pt idx="62">
                  <c:v>-0.39124103208818556</c:v>
                </c:pt>
                <c:pt idx="63">
                  <c:v>-0.38753423944169063</c:v>
                </c:pt>
                <c:pt idx="64">
                  <c:v>-0.39185617506997589</c:v>
                </c:pt>
                <c:pt idx="65">
                  <c:v>-0.30088516975923757</c:v>
                </c:pt>
                <c:pt idx="66">
                  <c:v>-0.39335803516915535</c:v>
                </c:pt>
                <c:pt idx="67">
                  <c:v>-0.2618717973694194</c:v>
                </c:pt>
                <c:pt idx="68">
                  <c:v>-0.29758753801126514</c:v>
                </c:pt>
                <c:pt idx="69">
                  <c:v>-0.35090789190601324</c:v>
                </c:pt>
                <c:pt idx="70">
                  <c:v>-0.27078095238845162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5-43DF-83A3-7C6AC723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41376"/>
        <c:axId val="1232041856"/>
      </c:scatterChart>
      <c:valAx>
        <c:axId val="12320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41856"/>
        <c:crosses val="autoZero"/>
        <c:crossBetween val="midCat"/>
      </c:valAx>
      <c:valAx>
        <c:axId val="12320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excess stock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760448822063708"/>
                  <c:y val="-3.42742053076698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Sheet1!$AC$2:$AC$493</c:f>
              <c:numCache>
                <c:formatCode>0.00%</c:formatCode>
                <c:ptCount val="492"/>
                <c:pt idx="0">
                  <c:v>-0.12829475948571409</c:v>
                </c:pt>
                <c:pt idx="1">
                  <c:v>-0.21077715030507138</c:v>
                </c:pt>
                <c:pt idx="2">
                  <c:v>-0.14928594907559511</c:v>
                </c:pt>
                <c:pt idx="3">
                  <c:v>0.11517737149861247</c:v>
                </c:pt>
                <c:pt idx="4">
                  <c:v>3.444848633222674E-2</c:v>
                </c:pt>
                <c:pt idx="5">
                  <c:v>5.0550631805909661E-3</c:v>
                </c:pt>
                <c:pt idx="6">
                  <c:v>4.4267988147110311E-2</c:v>
                </c:pt>
                <c:pt idx="7">
                  <c:v>6.1731333568384381E-2</c:v>
                </c:pt>
                <c:pt idx="8">
                  <c:v>-4.8394636845089753E-2</c:v>
                </c:pt>
                <c:pt idx="9">
                  <c:v>-3.5999119554713056E-2</c:v>
                </c:pt>
                <c:pt idx="10">
                  <c:v>0.10004563544385905</c:v>
                </c:pt>
                <c:pt idx="11">
                  <c:v>2.9621459093568635E-2</c:v>
                </c:pt>
                <c:pt idx="12">
                  <c:v>-1.7803327422111822E-2</c:v>
                </c:pt>
                <c:pt idx="13">
                  <c:v>2.2758118044116551E-2</c:v>
                </c:pt>
                <c:pt idx="14">
                  <c:v>3.9938632533163924E-2</c:v>
                </c:pt>
                <c:pt idx="15">
                  <c:v>5.0758654680893064E-2</c:v>
                </c:pt>
                <c:pt idx="16">
                  <c:v>3.8198220039403468E-3</c:v>
                </c:pt>
                <c:pt idx="17">
                  <c:v>1.8880676232501437E-2</c:v>
                </c:pt>
                <c:pt idx="18">
                  <c:v>1.8581388161721932E-2</c:v>
                </c:pt>
                <c:pt idx="19">
                  <c:v>2.4823749588771878E-2</c:v>
                </c:pt>
                <c:pt idx="20">
                  <c:v>-5.090250213523443E-2</c:v>
                </c:pt>
                <c:pt idx="21">
                  <c:v>6.4977169733939924E-2</c:v>
                </c:pt>
                <c:pt idx="22">
                  <c:v>-1.2500372851412811E-2</c:v>
                </c:pt>
                <c:pt idx="23">
                  <c:v>3.8612913462064816E-2</c:v>
                </c:pt>
                <c:pt idx="24">
                  <c:v>-6.5085165027393838E-2</c:v>
                </c:pt>
                <c:pt idx="25">
                  <c:v>-5.8860491945908269E-2</c:v>
                </c:pt>
                <c:pt idx="26">
                  <c:v>-8.9337829512039363E-4</c:v>
                </c:pt>
                <c:pt idx="27">
                  <c:v>-0.15129004513767638</c:v>
                </c:pt>
                <c:pt idx="28">
                  <c:v>-8.1613488962022016E-2</c:v>
                </c:pt>
                <c:pt idx="29">
                  <c:v>-0.20808666660049346</c:v>
                </c:pt>
                <c:pt idx="30">
                  <c:v>-9.471694160312337E-2</c:v>
                </c:pt>
                <c:pt idx="31">
                  <c:v>-0.26160679493966504</c:v>
                </c:pt>
                <c:pt idx="32">
                  <c:v>-0.35422900534660762</c:v>
                </c:pt>
                <c:pt idx="33">
                  <c:v>-0.23013658616299099</c:v>
                </c:pt>
                <c:pt idx="34">
                  <c:v>-0.2920804399808416</c:v>
                </c:pt>
                <c:pt idx="35">
                  <c:v>-0.41313814074139604</c:v>
                </c:pt>
                <c:pt idx="36">
                  <c:v>-0.31658047549865437</c:v>
                </c:pt>
                <c:pt idx="37">
                  <c:v>-0.41361249393181865</c:v>
                </c:pt>
                <c:pt idx="38">
                  <c:v>-0.35578172075622444</c:v>
                </c:pt>
                <c:pt idx="39">
                  <c:v>-0.39535765833751885</c:v>
                </c:pt>
                <c:pt idx="40">
                  <c:v>-0.42585098596514032</c:v>
                </c:pt>
                <c:pt idx="41">
                  <c:v>-0.3652725350957654</c:v>
                </c:pt>
                <c:pt idx="42">
                  <c:v>-0.40636106764498903</c:v>
                </c:pt>
                <c:pt idx="43">
                  <c:v>-0.45938305673752072</c:v>
                </c:pt>
                <c:pt idx="44">
                  <c:v>-0.4920527007989583</c:v>
                </c:pt>
                <c:pt idx="45">
                  <c:v>-0.46697968873798301</c:v>
                </c:pt>
                <c:pt idx="46">
                  <c:v>-0.34998739788469663</c:v>
                </c:pt>
                <c:pt idx="47">
                  <c:v>-0.39243743551030658</c:v>
                </c:pt>
                <c:pt idx="48">
                  <c:v>-0.41910429240100844</c:v>
                </c:pt>
                <c:pt idx="49">
                  <c:v>-0.38494602604294359</c:v>
                </c:pt>
                <c:pt idx="50">
                  <c:v>-0.40564788675132385</c:v>
                </c:pt>
                <c:pt idx="51">
                  <c:v>-0.47828173840456545</c:v>
                </c:pt>
                <c:pt idx="52">
                  <c:v>-0.38947880984880096</c:v>
                </c:pt>
                <c:pt idx="53">
                  <c:v>-0.40199686538358348</c:v>
                </c:pt>
                <c:pt idx="54">
                  <c:v>-0.4220120164454646</c:v>
                </c:pt>
                <c:pt idx="55">
                  <c:v>-0.39799862639670303</c:v>
                </c:pt>
                <c:pt idx="56">
                  <c:v>-0.37313644924273209</c:v>
                </c:pt>
                <c:pt idx="57">
                  <c:v>-0.38573007663648501</c:v>
                </c:pt>
                <c:pt idx="58">
                  <c:v>-0.31103203785123451</c:v>
                </c:pt>
                <c:pt idx="59">
                  <c:v>-0.38082347038181691</c:v>
                </c:pt>
                <c:pt idx="60">
                  <c:v>-0.32381702909288923</c:v>
                </c:pt>
                <c:pt idx="61">
                  <c:v>-0.36590875936649175</c:v>
                </c:pt>
                <c:pt idx="62">
                  <c:v>-0.40754469768137547</c:v>
                </c:pt>
                <c:pt idx="63">
                  <c:v>-0.35845827667962316</c:v>
                </c:pt>
                <c:pt idx="64">
                  <c:v>-0.2926428405258838</c:v>
                </c:pt>
                <c:pt idx="65">
                  <c:v>-0.30289316053228427</c:v>
                </c:pt>
                <c:pt idx="66">
                  <c:v>-0.33250010413602593</c:v>
                </c:pt>
                <c:pt idx="67">
                  <c:v>-0.32426688903829715</c:v>
                </c:pt>
                <c:pt idx="68">
                  <c:v>-0.29134297944796506</c:v>
                </c:pt>
                <c:pt idx="69">
                  <c:v>-0.29564646142840961</c:v>
                </c:pt>
                <c:pt idx="70">
                  <c:v>-0.31370038183332821</c:v>
                </c:pt>
              </c:numCache>
            </c:numRef>
          </c:xVal>
          <c:yVal>
            <c:numRef>
              <c:f>Sheet1!$AD$2:$AD$493</c:f>
              <c:numCache>
                <c:formatCode>0.00%</c:formatCode>
                <c:ptCount val="492"/>
                <c:pt idx="0">
                  <c:v>-0.17618169788397942</c:v>
                </c:pt>
                <c:pt idx="1">
                  <c:v>-0.22007731598122129</c:v>
                </c:pt>
                <c:pt idx="2">
                  <c:v>-4.7505991398791726E-2</c:v>
                </c:pt>
                <c:pt idx="3">
                  <c:v>0.16357837688425667</c:v>
                </c:pt>
                <c:pt idx="4">
                  <c:v>-1.526510967482388E-2</c:v>
                </c:pt>
                <c:pt idx="5">
                  <c:v>-0.14855493534332662</c:v>
                </c:pt>
                <c:pt idx="6">
                  <c:v>0.16592484029264898</c:v>
                </c:pt>
                <c:pt idx="7">
                  <c:v>-1.6666190534492507E-2</c:v>
                </c:pt>
                <c:pt idx="8">
                  <c:v>-3.8010248371458055E-2</c:v>
                </c:pt>
                <c:pt idx="9">
                  <c:v>-4.157576189688101E-2</c:v>
                </c:pt>
                <c:pt idx="10">
                  <c:v>0.130570649829364</c:v>
                </c:pt>
                <c:pt idx="11">
                  <c:v>-3.6772900173614398E-2</c:v>
                </c:pt>
                <c:pt idx="12">
                  <c:v>-3.1388112463695696E-2</c:v>
                </c:pt>
                <c:pt idx="13">
                  <c:v>-6.0315845202259279E-2</c:v>
                </c:pt>
                <c:pt idx="14">
                  <c:v>7.9315394628591843E-2</c:v>
                </c:pt>
                <c:pt idx="15">
                  <c:v>6.5128688298556781E-2</c:v>
                </c:pt>
                <c:pt idx="16">
                  <c:v>4.0334463568861604E-4</c:v>
                </c:pt>
                <c:pt idx="17">
                  <c:v>1.7731756630754877E-2</c:v>
                </c:pt>
                <c:pt idx="18">
                  <c:v>8.904083247933052E-2</c:v>
                </c:pt>
                <c:pt idx="19">
                  <c:v>8.1730556286152486E-2</c:v>
                </c:pt>
                <c:pt idx="20">
                  <c:v>-6.9754295838998809E-2</c:v>
                </c:pt>
                <c:pt idx="21">
                  <c:v>1.2806711163318343E-2</c:v>
                </c:pt>
                <c:pt idx="22">
                  <c:v>0.22422802221441315</c:v>
                </c:pt>
                <c:pt idx="23">
                  <c:v>0.10366072733868335</c:v>
                </c:pt>
                <c:pt idx="24">
                  <c:v>-0.12020555763825741</c:v>
                </c:pt>
                <c:pt idx="25">
                  <c:v>-0.12985532093467311</c:v>
                </c:pt>
                <c:pt idx="26">
                  <c:v>6.623072954194853E-2</c:v>
                </c:pt>
                <c:pt idx="27">
                  <c:v>-0.11548722773867393</c:v>
                </c:pt>
                <c:pt idx="28">
                  <c:v>-7.6167512468935938E-4</c:v>
                </c:pt>
                <c:pt idx="29">
                  <c:v>-0.12760627702884014</c:v>
                </c:pt>
                <c:pt idx="30">
                  <c:v>-0.2224536500681292</c:v>
                </c:pt>
                <c:pt idx="31">
                  <c:v>-0.31675208246302577</c:v>
                </c:pt>
                <c:pt idx="32">
                  <c:v>-0.29333394221572129</c:v>
                </c:pt>
                <c:pt idx="33">
                  <c:v>-0.24624288329790273</c:v>
                </c:pt>
                <c:pt idx="34">
                  <c:v>-0.2689270306298216</c:v>
                </c:pt>
                <c:pt idx="35">
                  <c:v>-0.32326363839868055</c:v>
                </c:pt>
                <c:pt idx="36">
                  <c:v>-0.51650658649558823</c:v>
                </c:pt>
                <c:pt idx="37">
                  <c:v>-0.46036109691932736</c:v>
                </c:pt>
                <c:pt idx="38">
                  <c:v>-0.38516429668054292</c:v>
                </c:pt>
                <c:pt idx="39">
                  <c:v>-0.45681355107707022</c:v>
                </c:pt>
                <c:pt idx="40">
                  <c:v>-0.45070406738236574</c:v>
                </c:pt>
                <c:pt idx="41">
                  <c:v>-0.45480515238335989</c:v>
                </c:pt>
                <c:pt idx="42">
                  <c:v>-0.45440306869888303</c:v>
                </c:pt>
                <c:pt idx="43">
                  <c:v>-0.44959281445497368</c:v>
                </c:pt>
                <c:pt idx="44">
                  <c:v>-0.50579815175942144</c:v>
                </c:pt>
                <c:pt idx="45">
                  <c:v>-0.52368562937309426</c:v>
                </c:pt>
                <c:pt idx="46">
                  <c:v>-0.44211164357183175</c:v>
                </c:pt>
                <c:pt idx="47">
                  <c:v>-0.47906365782325311</c:v>
                </c:pt>
                <c:pt idx="48">
                  <c:v>-0.49439582086311828</c:v>
                </c:pt>
                <c:pt idx="49">
                  <c:v>-0.44110954094039267</c:v>
                </c:pt>
                <c:pt idx="50">
                  <c:v>-0.39186238020621805</c:v>
                </c:pt>
                <c:pt idx="51">
                  <c:v>-0.51342358285960077</c:v>
                </c:pt>
                <c:pt idx="52">
                  <c:v>-0.3188425335766093</c:v>
                </c:pt>
                <c:pt idx="53">
                  <c:v>-0.44567018776925749</c:v>
                </c:pt>
                <c:pt idx="54">
                  <c:v>-0.341839308041752</c:v>
                </c:pt>
                <c:pt idx="55">
                  <c:v>-0.45752580354228273</c:v>
                </c:pt>
                <c:pt idx="56">
                  <c:v>-0.39574626464032636</c:v>
                </c:pt>
                <c:pt idx="57">
                  <c:v>-0.39794811857081391</c:v>
                </c:pt>
                <c:pt idx="58">
                  <c:v>-0.44218491762985246</c:v>
                </c:pt>
                <c:pt idx="59">
                  <c:v>-0.32790197469335086</c:v>
                </c:pt>
                <c:pt idx="60">
                  <c:v>-0.35121025551891155</c:v>
                </c:pt>
                <c:pt idx="61">
                  <c:v>-0.33858433214113126</c:v>
                </c:pt>
                <c:pt idx="62">
                  <c:v>-0.39124103208818556</c:v>
                </c:pt>
                <c:pt idx="63">
                  <c:v>-0.38753423944169063</c:v>
                </c:pt>
                <c:pt idx="64">
                  <c:v>-0.39185617506997589</c:v>
                </c:pt>
                <c:pt idx="65">
                  <c:v>-0.30088516975923757</c:v>
                </c:pt>
                <c:pt idx="66">
                  <c:v>-0.39335803516915535</c:v>
                </c:pt>
                <c:pt idx="67">
                  <c:v>-0.2618717973694194</c:v>
                </c:pt>
                <c:pt idx="68">
                  <c:v>-0.29758753801126514</c:v>
                </c:pt>
                <c:pt idx="69">
                  <c:v>-0.35090789190601324</c:v>
                </c:pt>
                <c:pt idx="70">
                  <c:v>-0.27078095238845162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6-4B5D-B502-4C14B16E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10079"/>
        <c:axId val="1651311039"/>
      </c:scatterChart>
      <c:valAx>
        <c:axId val="165131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1039"/>
        <c:crosses val="autoZero"/>
        <c:crossBetween val="midCat"/>
      </c:valAx>
      <c:valAx>
        <c:axId val="16513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excess stock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34424118037876844"/>
                  <c:y val="-6.64574219889180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Sheet1!$AC$2:$AC$493</c:f>
              <c:numCache>
                <c:formatCode>0.00%</c:formatCode>
                <c:ptCount val="492"/>
                <c:pt idx="0">
                  <c:v>-0.12829475948571409</c:v>
                </c:pt>
                <c:pt idx="1">
                  <c:v>-0.21077715030507138</c:v>
                </c:pt>
                <c:pt idx="2">
                  <c:v>-0.14928594907559511</c:v>
                </c:pt>
                <c:pt idx="3">
                  <c:v>0.11517737149861247</c:v>
                </c:pt>
                <c:pt idx="4">
                  <c:v>3.444848633222674E-2</c:v>
                </c:pt>
                <c:pt idx="5">
                  <c:v>5.0550631805909661E-3</c:v>
                </c:pt>
                <c:pt idx="6">
                  <c:v>4.4267988147110311E-2</c:v>
                </c:pt>
                <c:pt idx="7">
                  <c:v>6.1731333568384381E-2</c:v>
                </c:pt>
                <c:pt idx="8">
                  <c:v>-4.8394636845089753E-2</c:v>
                </c:pt>
                <c:pt idx="9">
                  <c:v>-3.5999119554713056E-2</c:v>
                </c:pt>
                <c:pt idx="10">
                  <c:v>0.10004563544385905</c:v>
                </c:pt>
                <c:pt idx="11">
                  <c:v>2.9621459093568635E-2</c:v>
                </c:pt>
                <c:pt idx="12">
                  <c:v>-1.7803327422111822E-2</c:v>
                </c:pt>
                <c:pt idx="13">
                  <c:v>2.2758118044116551E-2</c:v>
                </c:pt>
                <c:pt idx="14">
                  <c:v>3.9938632533163924E-2</c:v>
                </c:pt>
                <c:pt idx="15">
                  <c:v>5.0758654680893064E-2</c:v>
                </c:pt>
                <c:pt idx="16">
                  <c:v>3.8198220039403468E-3</c:v>
                </c:pt>
                <c:pt idx="17">
                  <c:v>1.8880676232501437E-2</c:v>
                </c:pt>
                <c:pt idx="18">
                  <c:v>1.8581388161721932E-2</c:v>
                </c:pt>
                <c:pt idx="19">
                  <c:v>2.4823749588771878E-2</c:v>
                </c:pt>
                <c:pt idx="20">
                  <c:v>-5.090250213523443E-2</c:v>
                </c:pt>
                <c:pt idx="21">
                  <c:v>6.4977169733939924E-2</c:v>
                </c:pt>
                <c:pt idx="22">
                  <c:v>-1.2500372851412811E-2</c:v>
                </c:pt>
                <c:pt idx="23">
                  <c:v>3.8612913462064816E-2</c:v>
                </c:pt>
                <c:pt idx="24">
                  <c:v>-6.5085165027393838E-2</c:v>
                </c:pt>
                <c:pt idx="25">
                  <c:v>-5.8860491945908269E-2</c:v>
                </c:pt>
                <c:pt idx="26">
                  <c:v>-8.9337829512039363E-4</c:v>
                </c:pt>
                <c:pt idx="27">
                  <c:v>-0.15129004513767638</c:v>
                </c:pt>
                <c:pt idx="28">
                  <c:v>-8.1613488962022016E-2</c:v>
                </c:pt>
                <c:pt idx="29">
                  <c:v>-0.20808666660049346</c:v>
                </c:pt>
                <c:pt idx="30">
                  <c:v>-9.471694160312337E-2</c:v>
                </c:pt>
                <c:pt idx="31">
                  <c:v>-0.26160679493966504</c:v>
                </c:pt>
                <c:pt idx="32">
                  <c:v>-0.35422900534660762</c:v>
                </c:pt>
                <c:pt idx="33">
                  <c:v>-0.23013658616299099</c:v>
                </c:pt>
                <c:pt idx="34">
                  <c:v>-0.2920804399808416</c:v>
                </c:pt>
                <c:pt idx="35">
                  <c:v>-0.41313814074139604</c:v>
                </c:pt>
                <c:pt idx="36">
                  <c:v>-0.31658047549865437</c:v>
                </c:pt>
                <c:pt idx="37">
                  <c:v>-0.41361249393181865</c:v>
                </c:pt>
                <c:pt idx="38">
                  <c:v>-0.35578172075622444</c:v>
                </c:pt>
                <c:pt idx="39">
                  <c:v>-0.39535765833751885</c:v>
                </c:pt>
                <c:pt idx="40">
                  <c:v>-0.42585098596514032</c:v>
                </c:pt>
                <c:pt idx="41">
                  <c:v>-0.3652725350957654</c:v>
                </c:pt>
                <c:pt idx="42">
                  <c:v>-0.40636106764498903</c:v>
                </c:pt>
                <c:pt idx="43">
                  <c:v>-0.45938305673752072</c:v>
                </c:pt>
                <c:pt idx="44">
                  <c:v>-0.4920527007989583</c:v>
                </c:pt>
                <c:pt idx="45">
                  <c:v>-0.46697968873798301</c:v>
                </c:pt>
                <c:pt idx="46">
                  <c:v>-0.34998739788469663</c:v>
                </c:pt>
                <c:pt idx="47">
                  <c:v>-0.39243743551030658</c:v>
                </c:pt>
                <c:pt idx="48">
                  <c:v>-0.41910429240100844</c:v>
                </c:pt>
                <c:pt idx="49">
                  <c:v>-0.38494602604294359</c:v>
                </c:pt>
                <c:pt idx="50">
                  <c:v>-0.40564788675132385</c:v>
                </c:pt>
                <c:pt idx="51">
                  <c:v>-0.47828173840456545</c:v>
                </c:pt>
                <c:pt idx="52">
                  <c:v>-0.38947880984880096</c:v>
                </c:pt>
                <c:pt idx="53">
                  <c:v>-0.40199686538358348</c:v>
                </c:pt>
                <c:pt idx="54">
                  <c:v>-0.4220120164454646</c:v>
                </c:pt>
                <c:pt idx="55">
                  <c:v>-0.39799862639670303</c:v>
                </c:pt>
                <c:pt idx="56">
                  <c:v>-0.37313644924273209</c:v>
                </c:pt>
                <c:pt idx="57">
                  <c:v>-0.38573007663648501</c:v>
                </c:pt>
                <c:pt idx="58">
                  <c:v>-0.31103203785123451</c:v>
                </c:pt>
                <c:pt idx="59">
                  <c:v>-0.38082347038181691</c:v>
                </c:pt>
                <c:pt idx="60">
                  <c:v>-0.32381702909288923</c:v>
                </c:pt>
                <c:pt idx="61">
                  <c:v>-0.36590875936649175</c:v>
                </c:pt>
                <c:pt idx="62">
                  <c:v>-0.40754469768137547</c:v>
                </c:pt>
                <c:pt idx="63">
                  <c:v>-0.35845827667962316</c:v>
                </c:pt>
                <c:pt idx="64">
                  <c:v>-0.2926428405258838</c:v>
                </c:pt>
                <c:pt idx="65">
                  <c:v>-0.30289316053228427</c:v>
                </c:pt>
                <c:pt idx="66">
                  <c:v>-0.33250010413602593</c:v>
                </c:pt>
                <c:pt idx="67">
                  <c:v>-0.32426688903829715</c:v>
                </c:pt>
                <c:pt idx="68">
                  <c:v>-0.29134297944796506</c:v>
                </c:pt>
                <c:pt idx="69">
                  <c:v>-0.29564646142840961</c:v>
                </c:pt>
                <c:pt idx="70">
                  <c:v>-0.31370038183332821</c:v>
                </c:pt>
              </c:numCache>
            </c:numRef>
          </c:xVal>
          <c:yVal>
            <c:numRef>
              <c:f>Sheet1!$AD$2:$AD$493</c:f>
              <c:numCache>
                <c:formatCode>0.00%</c:formatCode>
                <c:ptCount val="492"/>
                <c:pt idx="0">
                  <c:v>-0.17618169788397942</c:v>
                </c:pt>
                <c:pt idx="1">
                  <c:v>-0.22007731598122129</c:v>
                </c:pt>
                <c:pt idx="2">
                  <c:v>-4.7505991398791726E-2</c:v>
                </c:pt>
                <c:pt idx="3">
                  <c:v>0.16357837688425667</c:v>
                </c:pt>
                <c:pt idx="4">
                  <c:v>-1.526510967482388E-2</c:v>
                </c:pt>
                <c:pt idx="5">
                  <c:v>-0.14855493534332662</c:v>
                </c:pt>
                <c:pt idx="6">
                  <c:v>0.16592484029264898</c:v>
                </c:pt>
                <c:pt idx="7">
                  <c:v>-1.6666190534492507E-2</c:v>
                </c:pt>
                <c:pt idx="8">
                  <c:v>-3.8010248371458055E-2</c:v>
                </c:pt>
                <c:pt idx="9">
                  <c:v>-4.157576189688101E-2</c:v>
                </c:pt>
                <c:pt idx="10">
                  <c:v>0.130570649829364</c:v>
                </c:pt>
                <c:pt idx="11">
                  <c:v>-3.6772900173614398E-2</c:v>
                </c:pt>
                <c:pt idx="12">
                  <c:v>-3.1388112463695696E-2</c:v>
                </c:pt>
                <c:pt idx="13">
                  <c:v>-6.0315845202259279E-2</c:v>
                </c:pt>
                <c:pt idx="14">
                  <c:v>7.9315394628591843E-2</c:v>
                </c:pt>
                <c:pt idx="15">
                  <c:v>6.5128688298556781E-2</c:v>
                </c:pt>
                <c:pt idx="16">
                  <c:v>4.0334463568861604E-4</c:v>
                </c:pt>
                <c:pt idx="17">
                  <c:v>1.7731756630754877E-2</c:v>
                </c:pt>
                <c:pt idx="18">
                  <c:v>8.904083247933052E-2</c:v>
                </c:pt>
                <c:pt idx="19">
                  <c:v>8.1730556286152486E-2</c:v>
                </c:pt>
                <c:pt idx="20">
                  <c:v>-6.9754295838998809E-2</c:v>
                </c:pt>
                <c:pt idx="21">
                  <c:v>1.2806711163318343E-2</c:v>
                </c:pt>
                <c:pt idx="22">
                  <c:v>0.22422802221441315</c:v>
                </c:pt>
                <c:pt idx="23">
                  <c:v>0.10366072733868335</c:v>
                </c:pt>
                <c:pt idx="24">
                  <c:v>-0.12020555763825741</c:v>
                </c:pt>
                <c:pt idx="25">
                  <c:v>-0.12985532093467311</c:v>
                </c:pt>
                <c:pt idx="26">
                  <c:v>6.623072954194853E-2</c:v>
                </c:pt>
                <c:pt idx="27">
                  <c:v>-0.11548722773867393</c:v>
                </c:pt>
                <c:pt idx="28">
                  <c:v>-7.6167512468935938E-4</c:v>
                </c:pt>
                <c:pt idx="29">
                  <c:v>-0.12760627702884014</c:v>
                </c:pt>
                <c:pt idx="30">
                  <c:v>-0.2224536500681292</c:v>
                </c:pt>
                <c:pt idx="31">
                  <c:v>-0.31675208246302577</c:v>
                </c:pt>
                <c:pt idx="32">
                  <c:v>-0.29333394221572129</c:v>
                </c:pt>
                <c:pt idx="33">
                  <c:v>-0.24624288329790273</c:v>
                </c:pt>
                <c:pt idx="34">
                  <c:v>-0.2689270306298216</c:v>
                </c:pt>
                <c:pt idx="35">
                  <c:v>-0.32326363839868055</c:v>
                </c:pt>
                <c:pt idx="36">
                  <c:v>-0.51650658649558823</c:v>
                </c:pt>
                <c:pt idx="37">
                  <c:v>-0.46036109691932736</c:v>
                </c:pt>
                <c:pt idx="38">
                  <c:v>-0.38516429668054292</c:v>
                </c:pt>
                <c:pt idx="39">
                  <c:v>-0.45681355107707022</c:v>
                </c:pt>
                <c:pt idx="40">
                  <c:v>-0.45070406738236574</c:v>
                </c:pt>
                <c:pt idx="41">
                  <c:v>-0.45480515238335989</c:v>
                </c:pt>
                <c:pt idx="42">
                  <c:v>-0.45440306869888303</c:v>
                </c:pt>
                <c:pt idx="43">
                  <c:v>-0.44959281445497368</c:v>
                </c:pt>
                <c:pt idx="44">
                  <c:v>-0.50579815175942144</c:v>
                </c:pt>
                <c:pt idx="45">
                  <c:v>-0.52368562937309426</c:v>
                </c:pt>
                <c:pt idx="46">
                  <c:v>-0.44211164357183175</c:v>
                </c:pt>
                <c:pt idx="47">
                  <c:v>-0.47906365782325311</c:v>
                </c:pt>
                <c:pt idx="48">
                  <c:v>-0.49439582086311828</c:v>
                </c:pt>
                <c:pt idx="49">
                  <c:v>-0.44110954094039267</c:v>
                </c:pt>
                <c:pt idx="50">
                  <c:v>-0.39186238020621805</c:v>
                </c:pt>
                <c:pt idx="51">
                  <c:v>-0.51342358285960077</c:v>
                </c:pt>
                <c:pt idx="52">
                  <c:v>-0.3188425335766093</c:v>
                </c:pt>
                <c:pt idx="53">
                  <c:v>-0.44567018776925749</c:v>
                </c:pt>
                <c:pt idx="54">
                  <c:v>-0.341839308041752</c:v>
                </c:pt>
                <c:pt idx="55">
                  <c:v>-0.45752580354228273</c:v>
                </c:pt>
                <c:pt idx="56">
                  <c:v>-0.39574626464032636</c:v>
                </c:pt>
                <c:pt idx="57">
                  <c:v>-0.39794811857081391</c:v>
                </c:pt>
                <c:pt idx="58">
                  <c:v>-0.44218491762985246</c:v>
                </c:pt>
                <c:pt idx="59">
                  <c:v>-0.32790197469335086</c:v>
                </c:pt>
                <c:pt idx="60">
                  <c:v>-0.35121025551891155</c:v>
                </c:pt>
                <c:pt idx="61">
                  <c:v>-0.33858433214113126</c:v>
                </c:pt>
                <c:pt idx="62">
                  <c:v>-0.39124103208818556</c:v>
                </c:pt>
                <c:pt idx="63">
                  <c:v>-0.38753423944169063</c:v>
                </c:pt>
                <c:pt idx="64">
                  <c:v>-0.39185617506997589</c:v>
                </c:pt>
                <c:pt idx="65">
                  <c:v>-0.30088516975923757</c:v>
                </c:pt>
                <c:pt idx="66">
                  <c:v>-0.39335803516915535</c:v>
                </c:pt>
                <c:pt idx="67">
                  <c:v>-0.2618717973694194</c:v>
                </c:pt>
                <c:pt idx="68">
                  <c:v>-0.29758753801126514</c:v>
                </c:pt>
                <c:pt idx="69">
                  <c:v>-0.35090789190601324</c:v>
                </c:pt>
                <c:pt idx="70">
                  <c:v>-0.27078095238845162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C-4B4C-B1B4-F01D9A03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41376"/>
        <c:axId val="1232041856"/>
      </c:scatterChart>
      <c:valAx>
        <c:axId val="12320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41856"/>
        <c:crosses val="autoZero"/>
        <c:crossBetween val="midCat"/>
      </c:valAx>
      <c:valAx>
        <c:axId val="12320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373380</xdr:colOff>
      <xdr:row>7</xdr:row>
      <xdr:rowOff>167640</xdr:rowOff>
    </xdr:from>
    <xdr:to>
      <xdr:col>40</xdr:col>
      <xdr:colOff>594360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7CF61-43E4-72BA-F2E6-DCB2F4584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381000</xdr:colOff>
      <xdr:row>24</xdr:row>
      <xdr:rowOff>152400</xdr:rowOff>
    </xdr:from>
    <xdr:to>
      <xdr:col>40</xdr:col>
      <xdr:colOff>365760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801217-6BEA-3BFA-D52C-323C29484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373380</xdr:colOff>
      <xdr:row>7</xdr:row>
      <xdr:rowOff>167640</xdr:rowOff>
    </xdr:from>
    <xdr:to>
      <xdr:col>41</xdr:col>
      <xdr:colOff>594360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6EAF4-696C-4A2B-91B0-DD03522A2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381000</xdr:colOff>
      <xdr:row>24</xdr:row>
      <xdr:rowOff>152400</xdr:rowOff>
    </xdr:from>
    <xdr:to>
      <xdr:col>41</xdr:col>
      <xdr:colOff>365760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89D10-2326-417F-ADFA-46A23DE7E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AEFB-E465-4513-8926-93D24930140E}">
  <dimension ref="A1:AF79"/>
  <sheetViews>
    <sheetView topLeftCell="AA1" workbookViewId="0">
      <selection sqref="A1:XFD1048576"/>
    </sheetView>
  </sheetViews>
  <sheetFormatPr defaultRowHeight="14.4" x14ac:dyDescent="0.3"/>
  <cols>
    <col min="1" max="1" width="9.33203125" bestFit="1" customWidth="1"/>
    <col min="2" max="5" width="19.88671875" style="4" bestFit="1" customWidth="1"/>
    <col min="6" max="6" width="18.44140625" bestFit="1" customWidth="1"/>
    <col min="7" max="7" width="12.77734375" bestFit="1" customWidth="1"/>
    <col min="8" max="8" width="9.33203125" bestFit="1" customWidth="1"/>
    <col min="9" max="9" width="10.5546875" bestFit="1" customWidth="1"/>
    <col min="10" max="11" width="9.6640625" bestFit="1" customWidth="1"/>
    <col min="12" max="12" width="10.33203125" bestFit="1" customWidth="1"/>
    <col min="13" max="13" width="19.5546875" bestFit="1" customWidth="1"/>
    <col min="14" max="14" width="9.77734375" bestFit="1" customWidth="1"/>
    <col min="15" max="15" width="9.33203125" bestFit="1" customWidth="1"/>
    <col min="16" max="16" width="14.5546875" bestFit="1" customWidth="1"/>
    <col min="17" max="19" width="17.77734375" bestFit="1" customWidth="1"/>
    <col min="20" max="22" width="18.77734375" bestFit="1" customWidth="1"/>
    <col min="23" max="23" width="17.44140625" bestFit="1" customWidth="1"/>
    <col min="26" max="26" width="17.33203125" bestFit="1" customWidth="1"/>
    <col min="27" max="28" width="20.44140625" bestFit="1" customWidth="1"/>
    <col min="29" max="29" width="12.5546875" bestFit="1" customWidth="1"/>
  </cols>
  <sheetData>
    <row r="1" spans="1:32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t="s">
        <v>6</v>
      </c>
      <c r="H1" t="s">
        <v>0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3" t="s">
        <v>55</v>
      </c>
      <c r="O1" s="6" t="s">
        <v>0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2" x14ac:dyDescent="0.3">
      <c r="A2" s="2">
        <v>43831</v>
      </c>
      <c r="B2" s="4">
        <v>3225.52001953125</v>
      </c>
      <c r="C2" s="4">
        <v>3337.77001953125</v>
      </c>
      <c r="D2" s="5" t="s">
        <v>7</v>
      </c>
      <c r="E2" s="4">
        <v>3244.669921875</v>
      </c>
      <c r="F2" s="1">
        <v>77287980000</v>
      </c>
      <c r="G2" s="3">
        <v>-1.6280928190474046E-3</v>
      </c>
      <c r="H2" s="2">
        <v>43831</v>
      </c>
      <c r="I2" s="6">
        <v>26.598354339599599</v>
      </c>
      <c r="J2" s="6">
        <v>29.262474416083499</v>
      </c>
      <c r="K2" s="6">
        <v>26.2055198189701</v>
      </c>
      <c r="L2" s="6">
        <v>28.069692541441</v>
      </c>
      <c r="M2" s="6">
        <v>531835964</v>
      </c>
      <c r="N2" s="3">
        <v>-4.9515031217312752E-2</v>
      </c>
      <c r="O2" s="2">
        <v>43831</v>
      </c>
      <c r="P2">
        <v>1.52</v>
      </c>
      <c r="Q2">
        <v>1.53</v>
      </c>
      <c r="R2">
        <v>1.52</v>
      </c>
      <c r="S2">
        <v>1.56</v>
      </c>
      <c r="T2">
        <v>1.76</v>
      </c>
      <c r="U2">
        <v>2.0699999999999998</v>
      </c>
      <c r="V2">
        <v>2.2200000000000002</v>
      </c>
      <c r="W2">
        <v>2.6010481334641632E-3</v>
      </c>
      <c r="X2">
        <v>1.7663637441045293E-4</v>
      </c>
      <c r="Z2">
        <v>0.12666666666666668</v>
      </c>
      <c r="AA2">
        <v>0.1275</v>
      </c>
      <c r="AB2">
        <v>0.12666666666666668</v>
      </c>
      <c r="AC2" s="7">
        <v>-0.12829475948571409</v>
      </c>
      <c r="AD2" s="7">
        <v>-0.17618169788397942</v>
      </c>
    </row>
    <row r="3" spans="1:32" x14ac:dyDescent="0.3">
      <c r="A3" s="2">
        <v>43862</v>
      </c>
      <c r="B3" s="5" t="s">
        <v>8</v>
      </c>
      <c r="C3" s="4">
        <v>3393.52001953125</v>
      </c>
      <c r="D3" s="5" t="s">
        <v>9</v>
      </c>
      <c r="E3" s="5" t="s">
        <v>10</v>
      </c>
      <c r="F3" s="1">
        <v>84436590000</v>
      </c>
      <c r="G3" s="3">
        <v>-8.4110483638404704E-2</v>
      </c>
      <c r="H3" s="2">
        <v>43862</v>
      </c>
      <c r="I3" s="6">
        <v>24.113784790038999</v>
      </c>
      <c r="J3" s="6">
        <v>27.8297033793575</v>
      </c>
      <c r="K3" s="6">
        <v>23.471616365780001</v>
      </c>
      <c r="L3" s="6">
        <v>27.028796595132899</v>
      </c>
      <c r="M3" s="6">
        <v>586886279</v>
      </c>
      <c r="N3" s="3">
        <v>-9.3410649314554617E-2</v>
      </c>
      <c r="O3" s="2">
        <v>43862</v>
      </c>
      <c r="P3">
        <v>1.52</v>
      </c>
      <c r="Q3">
        <v>1.41</v>
      </c>
      <c r="R3">
        <v>1.31</v>
      </c>
      <c r="S3">
        <v>1.32</v>
      </c>
      <c r="T3">
        <v>1.5</v>
      </c>
      <c r="U3">
        <v>1.81</v>
      </c>
      <c r="V3">
        <v>1.97</v>
      </c>
      <c r="W3">
        <v>9.0052678957253818E-3</v>
      </c>
      <c r="X3">
        <v>9.1724392956293883E-3</v>
      </c>
      <c r="Z3">
        <v>0.12666666666666668</v>
      </c>
      <c r="AA3">
        <v>0.11749999999999999</v>
      </c>
      <c r="AB3">
        <v>0.10916666666666668</v>
      </c>
      <c r="AC3" s="7">
        <v>-0.21077715030507138</v>
      </c>
      <c r="AD3" s="7">
        <v>-0.22007731598122129</v>
      </c>
      <c r="AF3">
        <f>_xlfn.VAR.S(AC2:AC72)</f>
        <v>3.520715843235226E-2</v>
      </c>
    </row>
    <row r="4" spans="1:32" x14ac:dyDescent="0.3">
      <c r="A4" s="2">
        <v>43891</v>
      </c>
      <c r="B4" s="5" t="s">
        <v>11</v>
      </c>
      <c r="C4" s="5" t="s">
        <v>12</v>
      </c>
      <c r="D4" s="5" t="s">
        <v>13</v>
      </c>
      <c r="E4" s="5" t="s">
        <v>14</v>
      </c>
      <c r="F4" s="1">
        <v>162185380000</v>
      </c>
      <c r="G4" s="3">
        <v>-0.12511928240892844</v>
      </c>
      <c r="H4" s="2">
        <v>43891</v>
      </c>
      <c r="I4" s="6">
        <v>23.5509853363037</v>
      </c>
      <c r="J4" s="6">
        <v>26.3072573063784</v>
      </c>
      <c r="K4" s="6">
        <v>20.116465674399599</v>
      </c>
      <c r="L4" s="6">
        <v>24.467337664884401</v>
      </c>
      <c r="M4" s="6">
        <v>1019616939</v>
      </c>
      <c r="N4" s="3">
        <v>-2.333932473212506E-2</v>
      </c>
      <c r="O4" s="2">
        <v>43891</v>
      </c>
      <c r="P4">
        <v>0.28999999999999998</v>
      </c>
      <c r="Q4">
        <v>0.33</v>
      </c>
      <c r="R4">
        <v>0.5</v>
      </c>
      <c r="S4">
        <v>0.59</v>
      </c>
      <c r="T4">
        <v>0.87</v>
      </c>
      <c r="U4">
        <v>1.26</v>
      </c>
      <c r="V4">
        <v>1.46</v>
      </c>
      <c r="W4">
        <v>6.1626897762859538E-4</v>
      </c>
      <c r="X4">
        <v>1.8709220152344538E-2</v>
      </c>
      <c r="Z4">
        <v>2.4166666666666666E-2</v>
      </c>
      <c r="AA4">
        <v>2.75E-2</v>
      </c>
      <c r="AB4">
        <v>4.1666666666666664E-2</v>
      </c>
      <c r="AC4" s="7">
        <v>-0.14928594907559511</v>
      </c>
      <c r="AD4" s="7">
        <v>-4.7505991398791726E-2</v>
      </c>
      <c r="AF4">
        <f>_xlfn.COVARIANCE.S(AD:AD,AC:AC)</f>
        <v>3.7578203142270318E-2</v>
      </c>
    </row>
    <row r="5" spans="1:32" x14ac:dyDescent="0.3">
      <c r="A5" s="2">
        <v>43922</v>
      </c>
      <c r="B5" s="5" t="s">
        <v>15</v>
      </c>
      <c r="C5" s="5" t="s">
        <v>16</v>
      </c>
      <c r="D5" s="5" t="s">
        <v>17</v>
      </c>
      <c r="E5" s="4">
        <v>2498.080078125</v>
      </c>
      <c r="F5" s="1">
        <v>123608160000</v>
      </c>
      <c r="G5" s="3">
        <v>0.12684403816527914</v>
      </c>
      <c r="H5" s="2">
        <v>43922</v>
      </c>
      <c r="I5" s="6">
        <v>27.678178787231399</v>
      </c>
      <c r="J5" s="6">
        <v>28.2986993299468</v>
      </c>
      <c r="K5" s="6">
        <v>22.750077761589001</v>
      </c>
      <c r="L5" s="6">
        <v>23.031476646088802</v>
      </c>
      <c r="M5" s="6">
        <v>533383339</v>
      </c>
      <c r="N5" s="3">
        <v>0.17524504355092332</v>
      </c>
      <c r="O5" s="2">
        <v>43922</v>
      </c>
      <c r="P5">
        <v>0.14000000000000001</v>
      </c>
      <c r="Q5">
        <v>0.18</v>
      </c>
      <c r="R5">
        <v>0.28000000000000003</v>
      </c>
      <c r="S5">
        <v>0.39</v>
      </c>
      <c r="T5">
        <v>0.66</v>
      </c>
      <c r="U5">
        <v>1.06</v>
      </c>
      <c r="V5">
        <v>1.27</v>
      </c>
      <c r="W5">
        <v>3.0192399590830029E-2</v>
      </c>
      <c r="X5">
        <v>1.3266816919959882E-2</v>
      </c>
      <c r="Z5">
        <v>1.1666666666666667E-2</v>
      </c>
      <c r="AA5">
        <v>1.4999999999999999E-2</v>
      </c>
      <c r="AB5">
        <v>2.3333333333333334E-2</v>
      </c>
      <c r="AC5" s="7">
        <v>0.11517737149861247</v>
      </c>
      <c r="AD5" s="7">
        <v>0.16357837688425667</v>
      </c>
      <c r="AF5">
        <f>AF4/AF3</f>
        <v>1.0673455290200098</v>
      </c>
    </row>
    <row r="6" spans="1:32" x14ac:dyDescent="0.3">
      <c r="A6" s="2">
        <v>43952</v>
      </c>
      <c r="B6" s="4">
        <v>3044.31005859375</v>
      </c>
      <c r="C6" s="4">
        <v>3068.669921875</v>
      </c>
      <c r="D6" s="5" t="s">
        <v>18</v>
      </c>
      <c r="E6" s="5" t="s">
        <v>19</v>
      </c>
      <c r="F6" s="1">
        <v>107135190000</v>
      </c>
      <c r="G6" s="3">
        <v>4.5281819665560073E-2</v>
      </c>
      <c r="H6" s="2">
        <v>43952</v>
      </c>
      <c r="I6" s="6">
        <v>27.555515289306602</v>
      </c>
      <c r="J6" s="6">
        <v>28.147175832010099</v>
      </c>
      <c r="K6" s="6">
        <v>26.4010541371111</v>
      </c>
      <c r="L6" s="6">
        <v>27.310191351614399</v>
      </c>
      <c r="M6" s="6">
        <v>474627691</v>
      </c>
      <c r="N6" s="3">
        <v>-4.4317763414905452E-3</v>
      </c>
      <c r="O6" s="2">
        <v>43952</v>
      </c>
      <c r="P6">
        <v>0.13</v>
      </c>
      <c r="Q6">
        <v>0.16</v>
      </c>
      <c r="R6">
        <v>0.22</v>
      </c>
      <c r="S6">
        <v>0.34</v>
      </c>
      <c r="T6">
        <v>0.67</v>
      </c>
      <c r="U6">
        <v>1.1200000000000001</v>
      </c>
      <c r="V6">
        <v>1.38</v>
      </c>
      <c r="W6">
        <v>3.5013457246417682E-5</v>
      </c>
      <c r="X6">
        <v>1.130267465464992E-3</v>
      </c>
      <c r="Z6">
        <v>1.0833333333333334E-2</v>
      </c>
      <c r="AA6">
        <v>1.3333333333333334E-2</v>
      </c>
      <c r="AB6">
        <v>1.8333333333333333E-2</v>
      </c>
      <c r="AC6" s="7">
        <v>3.444848633222674E-2</v>
      </c>
      <c r="AD6" s="7">
        <v>-1.526510967482388E-2</v>
      </c>
    </row>
    <row r="7" spans="1:32" x14ac:dyDescent="0.3">
      <c r="A7" s="2">
        <v>43983</v>
      </c>
      <c r="B7" s="4">
        <v>3100.2900390625</v>
      </c>
      <c r="C7" s="4">
        <v>3233.1298828125</v>
      </c>
      <c r="D7" s="5" t="s">
        <v>20</v>
      </c>
      <c r="E7" s="5" t="s">
        <v>21</v>
      </c>
      <c r="F7" s="1">
        <v>131458880000</v>
      </c>
      <c r="G7" s="3">
        <v>1.83883965139243E-2</v>
      </c>
      <c r="H7" s="2">
        <v>43983</v>
      </c>
      <c r="I7" s="6">
        <v>23.8294143676757</v>
      </c>
      <c r="J7" s="6">
        <v>26.7151787637323</v>
      </c>
      <c r="K7" s="6">
        <v>23.035101092584899</v>
      </c>
      <c r="L7" s="6">
        <v>25.869852877769201</v>
      </c>
      <c r="M7" s="6">
        <v>811003042</v>
      </c>
      <c r="N7" s="3">
        <v>-0.13522160200999328</v>
      </c>
      <c r="O7" s="2">
        <v>43983</v>
      </c>
      <c r="P7">
        <v>0.16</v>
      </c>
      <c r="Q7">
        <v>0.18</v>
      </c>
      <c r="R7">
        <v>0.22</v>
      </c>
      <c r="S7">
        <v>0.34</v>
      </c>
      <c r="T7">
        <v>0.73</v>
      </c>
      <c r="U7">
        <v>1.27</v>
      </c>
      <c r="V7">
        <v>1.49</v>
      </c>
      <c r="W7">
        <v>1.8688815520281243E-2</v>
      </c>
      <c r="X7">
        <v>4.5239446600412852E-5</v>
      </c>
      <c r="Z7">
        <v>1.3333333333333334E-2</v>
      </c>
      <c r="AA7">
        <v>1.4999999999999999E-2</v>
      </c>
      <c r="AB7">
        <v>1.8333333333333333E-2</v>
      </c>
      <c r="AC7" s="7">
        <v>5.0550631805909661E-3</v>
      </c>
      <c r="AD7" s="7">
        <v>-0.14855493534332662</v>
      </c>
      <c r="AF7" t="s">
        <v>80</v>
      </c>
    </row>
    <row r="8" spans="1:32" x14ac:dyDescent="0.3">
      <c r="A8" s="2">
        <v>44013</v>
      </c>
      <c r="B8" s="4">
        <v>3271.1201171875</v>
      </c>
      <c r="C8" s="5" t="s">
        <v>22</v>
      </c>
      <c r="D8" s="4">
        <v>3101.169921875</v>
      </c>
      <c r="E8" s="4">
        <v>3105.919921875</v>
      </c>
      <c r="F8" s="1">
        <v>96928130000</v>
      </c>
      <c r="G8" s="3">
        <v>5.5101321480443645E-2</v>
      </c>
      <c r="H8" s="2">
        <v>44013</v>
      </c>
      <c r="I8" s="6">
        <v>28.041458129882798</v>
      </c>
      <c r="J8" s="6">
        <v>28.7483271690576</v>
      </c>
      <c r="K8" s="6">
        <v>24.120902073788098</v>
      </c>
      <c r="L8" s="6">
        <v>25.170269442373598</v>
      </c>
      <c r="M8" s="6">
        <v>824072643</v>
      </c>
      <c r="N8" s="3">
        <v>0.17675817362598231</v>
      </c>
      <c r="O8" s="2">
        <v>44013</v>
      </c>
      <c r="P8">
        <v>0.13</v>
      </c>
      <c r="Q8">
        <v>0.15</v>
      </c>
      <c r="R8">
        <v>0.17</v>
      </c>
      <c r="S8">
        <v>0.28000000000000003</v>
      </c>
      <c r="T8">
        <v>0.62</v>
      </c>
      <c r="U8">
        <v>1.0900000000000001</v>
      </c>
      <c r="V8">
        <v>1.31</v>
      </c>
      <c r="W8">
        <v>3.0720530915331116E-2</v>
      </c>
      <c r="X8">
        <v>1.886942595713395E-3</v>
      </c>
      <c r="Z8">
        <v>1.0833333333333334E-2</v>
      </c>
      <c r="AA8">
        <v>1.2499999999999999E-2</v>
      </c>
      <c r="AB8">
        <v>1.4166666666666668E-2</v>
      </c>
      <c r="AC8" s="7">
        <v>4.4267988147110311E-2</v>
      </c>
      <c r="AD8" s="7">
        <v>0.16592484029264898</v>
      </c>
    </row>
    <row r="9" spans="1:32" x14ac:dyDescent="0.3">
      <c r="A9" s="2">
        <v>44044</v>
      </c>
      <c r="B9" s="4">
        <v>3500.31005859375</v>
      </c>
      <c r="C9" s="4">
        <v>3514.77001953125</v>
      </c>
      <c r="D9" s="5" t="s">
        <v>23</v>
      </c>
      <c r="E9" s="5" t="s">
        <v>24</v>
      </c>
      <c r="F9" s="1">
        <v>82466520000</v>
      </c>
      <c r="G9" s="3">
        <v>7.0064666901717712E-2</v>
      </c>
      <c r="H9" s="2">
        <v>44044</v>
      </c>
      <c r="I9" s="6">
        <v>27.807792663574201</v>
      </c>
      <c r="J9" s="6">
        <v>28.771757948666899</v>
      </c>
      <c r="K9" s="6">
        <v>27.520811693626701</v>
      </c>
      <c r="L9" s="6">
        <v>28.411189990487401</v>
      </c>
      <c r="M9" s="6">
        <v>470078941</v>
      </c>
      <c r="N9" s="3">
        <v>-8.3328572011591735E-3</v>
      </c>
      <c r="O9" s="2">
        <v>44044</v>
      </c>
      <c r="P9">
        <v>0.1</v>
      </c>
      <c r="Q9">
        <v>0.13</v>
      </c>
      <c r="R9">
        <v>0.16</v>
      </c>
      <c r="S9">
        <v>0.27</v>
      </c>
      <c r="T9">
        <v>0.65</v>
      </c>
      <c r="U9">
        <v>1.1399999999999999</v>
      </c>
      <c r="V9">
        <v>1.36</v>
      </c>
      <c r="W9">
        <v>9.6398973228418978E-5</v>
      </c>
      <c r="X9">
        <v>3.4108284043892069E-3</v>
      </c>
      <c r="Z9">
        <v>8.3333333333333332E-3</v>
      </c>
      <c r="AA9">
        <v>1.0833333333333334E-2</v>
      </c>
      <c r="AB9">
        <v>1.3333333333333334E-2</v>
      </c>
      <c r="AC9" s="7">
        <v>6.1731333568384381E-2</v>
      </c>
      <c r="AD9" s="7">
        <v>-1.6666190534492507E-2</v>
      </c>
    </row>
    <row r="10" spans="1:32" x14ac:dyDescent="0.3">
      <c r="A10" s="2">
        <v>44075</v>
      </c>
      <c r="B10" s="4">
        <v>3363</v>
      </c>
      <c r="C10" s="5" t="s">
        <v>25</v>
      </c>
      <c r="D10" s="5" t="s">
        <v>26</v>
      </c>
      <c r="E10" s="4">
        <v>3507.43994140625</v>
      </c>
      <c r="F10" s="1">
        <v>92310780000</v>
      </c>
      <c r="G10" s="3">
        <v>-3.922797017842309E-2</v>
      </c>
      <c r="H10" s="2">
        <v>44075</v>
      </c>
      <c r="I10" s="6">
        <v>27.0057163238525</v>
      </c>
      <c r="J10" s="6">
        <v>27.829871709121502</v>
      </c>
      <c r="K10" s="6">
        <v>26.034395828665801</v>
      </c>
      <c r="L10" s="6">
        <v>27.807794427800101</v>
      </c>
      <c r="M10" s="6">
        <v>510247724</v>
      </c>
      <c r="N10" s="3">
        <v>-2.8843581704791389E-2</v>
      </c>
      <c r="O10" s="2">
        <v>44075</v>
      </c>
      <c r="P10">
        <v>0.11</v>
      </c>
      <c r="Q10">
        <v>0.13</v>
      </c>
      <c r="R10">
        <v>0.16</v>
      </c>
      <c r="S10">
        <v>0.27</v>
      </c>
      <c r="T10">
        <v>0.68</v>
      </c>
      <c r="U10">
        <v>1.21</v>
      </c>
      <c r="V10">
        <v>1.42</v>
      </c>
      <c r="W10">
        <v>9.1984959864803515E-4</v>
      </c>
      <c r="X10">
        <v>2.589826618045426E-3</v>
      </c>
      <c r="Z10">
        <v>9.1666666666666667E-3</v>
      </c>
      <c r="AA10">
        <v>1.0833333333333334E-2</v>
      </c>
      <c r="AB10">
        <v>1.3333333333333334E-2</v>
      </c>
      <c r="AC10" s="7">
        <v>-4.8394636845089753E-2</v>
      </c>
      <c r="AD10" s="7">
        <v>-3.8010248371458055E-2</v>
      </c>
    </row>
    <row r="11" spans="1:32" x14ac:dyDescent="0.3">
      <c r="A11" s="2">
        <v>44105</v>
      </c>
      <c r="B11" s="4">
        <v>3269.9599609375</v>
      </c>
      <c r="C11" s="4">
        <v>3549.85009765625</v>
      </c>
      <c r="D11" s="4">
        <v>3233.93994140625</v>
      </c>
      <c r="E11" s="4">
        <v>3385.8701171875</v>
      </c>
      <c r="F11" s="1">
        <v>89938980000</v>
      </c>
      <c r="G11" s="3">
        <v>-2.7665786221379721E-2</v>
      </c>
      <c r="H11" s="2">
        <v>44105</v>
      </c>
      <c r="I11" s="6">
        <v>26.1079807281494</v>
      </c>
      <c r="J11" s="6">
        <v>28.587799156445602</v>
      </c>
      <c r="K11" s="6">
        <v>25.4604317374801</v>
      </c>
      <c r="L11" s="6">
        <v>27.160246358673</v>
      </c>
      <c r="M11" s="6">
        <v>555231707</v>
      </c>
      <c r="N11" s="3">
        <v>-3.3242428563547678E-2</v>
      </c>
      <c r="O11" s="2">
        <v>44105</v>
      </c>
      <c r="P11">
        <v>0.1</v>
      </c>
      <c r="Q11">
        <v>0.13</v>
      </c>
      <c r="R11">
        <v>0.19</v>
      </c>
      <c r="S11">
        <v>0.34</v>
      </c>
      <c r="T11">
        <v>0.79</v>
      </c>
      <c r="U11">
        <v>1.34</v>
      </c>
      <c r="V11">
        <v>1.57</v>
      </c>
      <c r="W11">
        <v>1.2060249020032709E-3</v>
      </c>
      <c r="X11">
        <v>1.546703790296582E-3</v>
      </c>
      <c r="Z11">
        <v>8.3333333333333332E-3</v>
      </c>
      <c r="AA11">
        <v>1.0833333333333334E-2</v>
      </c>
      <c r="AB11">
        <v>1.5833333333333335E-2</v>
      </c>
      <c r="AC11" s="7">
        <v>-3.5999119554713056E-2</v>
      </c>
      <c r="AD11" s="7">
        <v>-4.157576189688101E-2</v>
      </c>
    </row>
    <row r="12" spans="1:32" x14ac:dyDescent="0.3">
      <c r="A12" s="2">
        <v>44136</v>
      </c>
      <c r="B12" s="4">
        <v>3621.6298828125</v>
      </c>
      <c r="C12" s="5" t="s">
        <v>27</v>
      </c>
      <c r="D12" s="5" t="s">
        <v>28</v>
      </c>
      <c r="E12" s="5" t="s">
        <v>29</v>
      </c>
      <c r="F12" s="1">
        <v>101247180000</v>
      </c>
      <c r="G12" s="3">
        <v>0.10754563544385906</v>
      </c>
      <c r="H12" s="2">
        <v>44136</v>
      </c>
      <c r="I12" s="6">
        <v>29.7127265930175</v>
      </c>
      <c r="J12" s="6">
        <v>30.898373242963601</v>
      </c>
      <c r="K12" s="6">
        <v>26.152135695771801</v>
      </c>
      <c r="L12" s="6">
        <v>26.439116730331399</v>
      </c>
      <c r="M12" s="6">
        <v>1091575597</v>
      </c>
      <c r="N12" s="3">
        <v>0.13807064982936401</v>
      </c>
      <c r="O12" s="2">
        <v>44136</v>
      </c>
      <c r="P12">
        <v>0.09</v>
      </c>
      <c r="Q12">
        <v>0.12</v>
      </c>
      <c r="R12">
        <v>0.22</v>
      </c>
      <c r="S12">
        <v>0.39</v>
      </c>
      <c r="T12">
        <v>0.87</v>
      </c>
      <c r="U12">
        <v>1.4</v>
      </c>
      <c r="V12">
        <v>1.62</v>
      </c>
      <c r="W12">
        <v>1.8655519359137236E-2</v>
      </c>
      <c r="X12">
        <v>9.1936007908201816E-3</v>
      </c>
      <c r="Z12">
        <v>7.4999999999999997E-3</v>
      </c>
      <c r="AA12">
        <v>0.01</v>
      </c>
      <c r="AB12">
        <v>1.8333333333333333E-2</v>
      </c>
      <c r="AC12" s="7">
        <v>0.10004563544385905</v>
      </c>
      <c r="AD12" s="7">
        <v>0.130570649829364</v>
      </c>
    </row>
    <row r="13" spans="1:32" x14ac:dyDescent="0.3">
      <c r="A13" s="2">
        <v>44166</v>
      </c>
      <c r="B13" s="5" t="s">
        <v>30</v>
      </c>
      <c r="C13" s="5" t="s">
        <v>31</v>
      </c>
      <c r="D13" s="4">
        <v>3633.39990234375</v>
      </c>
      <c r="E13" s="4">
        <v>3645.8701171875</v>
      </c>
      <c r="F13" s="1">
        <v>96375680000</v>
      </c>
      <c r="G13" s="3">
        <v>3.7121459093568634E-2</v>
      </c>
      <c r="H13" s="2">
        <v>44166</v>
      </c>
      <c r="I13" s="6">
        <v>28.842948913574201</v>
      </c>
      <c r="J13" s="6">
        <v>33.755888227469001</v>
      </c>
      <c r="K13" s="6">
        <v>28.4354958823663</v>
      </c>
      <c r="L13" s="6">
        <v>30.8723767674249</v>
      </c>
      <c r="M13" s="6">
        <v>1161346900</v>
      </c>
      <c r="N13" s="3">
        <v>-2.9272900173614395E-2</v>
      </c>
      <c r="O13" s="2">
        <v>44166</v>
      </c>
      <c r="P13">
        <v>0.09</v>
      </c>
      <c r="Q13">
        <v>0.1</v>
      </c>
      <c r="R13">
        <v>0.19</v>
      </c>
      <c r="S13">
        <v>0.39</v>
      </c>
      <c r="T13">
        <v>0.93</v>
      </c>
      <c r="U13">
        <v>1.47</v>
      </c>
      <c r="V13">
        <v>1.67</v>
      </c>
      <c r="W13">
        <v>9.4607553189558801E-4</v>
      </c>
      <c r="X13">
        <v>6.4816527021820179E-4</v>
      </c>
      <c r="Z13">
        <v>7.4999999999999997E-3</v>
      </c>
      <c r="AA13">
        <v>8.3333333333333332E-3</v>
      </c>
      <c r="AB13">
        <v>1.5833333333333335E-2</v>
      </c>
      <c r="AC13" s="7">
        <v>2.9621459093568635E-2</v>
      </c>
      <c r="AD13" s="7">
        <v>-3.6772900173614398E-2</v>
      </c>
    </row>
    <row r="14" spans="1:32" x14ac:dyDescent="0.3">
      <c r="A14" s="2">
        <v>44197</v>
      </c>
      <c r="B14" s="5" t="s">
        <v>32</v>
      </c>
      <c r="C14" s="4">
        <v>3870.89990234375</v>
      </c>
      <c r="D14" s="4">
        <v>3662.7099609375</v>
      </c>
      <c r="E14" s="5" t="s">
        <v>33</v>
      </c>
      <c r="F14" s="1">
        <v>106117800000</v>
      </c>
      <c r="G14" s="3">
        <v>-1.1136660755445156E-2</v>
      </c>
      <c r="H14" s="2">
        <v>44197</v>
      </c>
      <c r="I14" s="6">
        <v>28.129909515380799</v>
      </c>
      <c r="J14" s="6">
        <v>29.642186162782</v>
      </c>
      <c r="K14" s="6">
        <v>27.910509869187202</v>
      </c>
      <c r="L14" s="6">
        <v>28.889963501490801</v>
      </c>
      <c r="M14" s="6">
        <v>689094500</v>
      </c>
      <c r="N14" s="3">
        <v>-2.4721445797029031E-2</v>
      </c>
      <c r="O14" s="2">
        <v>44197</v>
      </c>
      <c r="P14">
        <v>0.08</v>
      </c>
      <c r="Q14">
        <v>0.1</v>
      </c>
      <c r="R14">
        <v>0.2</v>
      </c>
      <c r="S14">
        <v>0.45</v>
      </c>
      <c r="T14">
        <v>1.08</v>
      </c>
      <c r="U14">
        <v>1.63</v>
      </c>
      <c r="V14">
        <v>1.82</v>
      </c>
      <c r="W14">
        <v>6.8680089867373384E-4</v>
      </c>
      <c r="X14">
        <v>5.1979575615467813E-4</v>
      </c>
      <c r="Z14">
        <v>6.6666666666666671E-3</v>
      </c>
      <c r="AA14">
        <v>8.3333333333333332E-3</v>
      </c>
      <c r="AB14">
        <v>1.6666666666666666E-2</v>
      </c>
      <c r="AC14" s="7">
        <v>-1.7803327422111822E-2</v>
      </c>
      <c r="AD14" s="7">
        <v>-3.1388112463695696E-2</v>
      </c>
    </row>
    <row r="15" spans="1:32" x14ac:dyDescent="0.3">
      <c r="A15" s="2">
        <v>44228</v>
      </c>
      <c r="B15" s="4">
        <v>3811.14990234375</v>
      </c>
      <c r="C15" s="5" t="s">
        <v>34</v>
      </c>
      <c r="D15" s="4">
        <v>3725.6201171875</v>
      </c>
      <c r="E15" s="4">
        <v>3731.169921875</v>
      </c>
      <c r="F15" s="1">
        <v>99082320000</v>
      </c>
      <c r="G15" s="3">
        <v>2.6091451377449885E-2</v>
      </c>
      <c r="H15" s="2">
        <v>44228</v>
      </c>
      <c r="I15" s="6">
        <v>26.5269966125488</v>
      </c>
      <c r="J15" s="6">
        <v>28.665629228562199</v>
      </c>
      <c r="K15" s="6">
        <v>26.4240244500918</v>
      </c>
      <c r="L15" s="6">
        <v>28.4596879252205</v>
      </c>
      <c r="M15" s="6">
        <v>665243900</v>
      </c>
      <c r="N15" s="3">
        <v>-5.6982511868925945E-2</v>
      </c>
      <c r="O15" s="2">
        <v>44228</v>
      </c>
      <c r="P15">
        <v>0.04</v>
      </c>
      <c r="Q15">
        <v>7.0000000000000007E-2</v>
      </c>
      <c r="R15">
        <v>0.21</v>
      </c>
      <c r="S15">
        <v>0.54</v>
      </c>
      <c r="T15">
        <v>1.26</v>
      </c>
      <c r="U15">
        <v>1.88</v>
      </c>
      <c r="V15">
        <v>2.04</v>
      </c>
      <c r="W15">
        <v>3.4185014749373859E-3</v>
      </c>
      <c r="X15">
        <v>2.0819841928999307E-4</v>
      </c>
      <c r="Z15">
        <v>3.3333333333333335E-3</v>
      </c>
      <c r="AA15">
        <v>5.8333333333333336E-3</v>
      </c>
      <c r="AB15">
        <v>1.7499999999999998E-2</v>
      </c>
      <c r="AC15" s="7">
        <v>2.2758118044116551E-2</v>
      </c>
      <c r="AD15" s="7">
        <v>-6.0315845202259279E-2</v>
      </c>
    </row>
    <row r="16" spans="1:32" x14ac:dyDescent="0.3">
      <c r="A16" s="2">
        <v>44256</v>
      </c>
      <c r="B16" s="5" t="s">
        <v>35</v>
      </c>
      <c r="C16" s="5" t="s">
        <v>36</v>
      </c>
      <c r="D16" s="5" t="s">
        <v>37</v>
      </c>
      <c r="E16" s="5" t="s">
        <v>38</v>
      </c>
      <c r="F16" s="1">
        <v>122371150000</v>
      </c>
      <c r="G16" s="3">
        <v>4.2438632533163927E-2</v>
      </c>
      <c r="H16" s="2">
        <v>44256</v>
      </c>
      <c r="I16" s="6">
        <v>28.697313308715799</v>
      </c>
      <c r="J16" s="6">
        <v>29.101279394182001</v>
      </c>
      <c r="K16" s="6">
        <v>26.4873897256047</v>
      </c>
      <c r="L16" s="6">
        <v>26.606203991111801</v>
      </c>
      <c r="M16" s="6">
        <v>675588700</v>
      </c>
      <c r="N16" s="3">
        <v>8.1815394628591845E-2</v>
      </c>
      <c r="O16" s="2">
        <v>44256</v>
      </c>
      <c r="P16">
        <v>0.03</v>
      </c>
      <c r="Q16">
        <v>0.08</v>
      </c>
      <c r="R16">
        <v>0.32</v>
      </c>
      <c r="S16">
        <v>0.82</v>
      </c>
      <c r="T16">
        <v>1.61</v>
      </c>
      <c r="U16">
        <v>2.2400000000000002</v>
      </c>
      <c r="V16">
        <v>2.34</v>
      </c>
      <c r="W16">
        <v>6.4529015018308803E-3</v>
      </c>
      <c r="X16">
        <v>9.4717839926982544E-4</v>
      </c>
      <c r="Z16">
        <v>2.5000000000000001E-3</v>
      </c>
      <c r="AA16">
        <v>6.6666666666666671E-3</v>
      </c>
      <c r="AB16">
        <v>2.6666666666666668E-2</v>
      </c>
      <c r="AC16" s="7">
        <v>3.9938632533163924E-2</v>
      </c>
      <c r="AD16" s="7">
        <v>7.9315394628591843E-2</v>
      </c>
    </row>
    <row r="17" spans="1:30" x14ac:dyDescent="0.3">
      <c r="A17" s="2">
        <v>44287</v>
      </c>
      <c r="B17" s="4">
        <v>4181.169921875</v>
      </c>
      <c r="C17" s="4">
        <v>4218.77978515625</v>
      </c>
      <c r="D17" s="5" t="s">
        <v>39</v>
      </c>
      <c r="E17" s="5" t="s">
        <v>39</v>
      </c>
      <c r="F17" s="1">
        <v>83124090000</v>
      </c>
      <c r="G17" s="3">
        <v>5.2425321347559728E-2</v>
      </c>
      <c r="H17" s="2">
        <v>44287</v>
      </c>
      <c r="I17" s="6">
        <v>30.614160537719702</v>
      </c>
      <c r="J17" s="6">
        <v>31.4220865337345</v>
      </c>
      <c r="K17" s="6">
        <v>28.325026810438398</v>
      </c>
      <c r="L17" s="6">
        <v>28.752754470614502</v>
      </c>
      <c r="M17" s="6">
        <v>558679000</v>
      </c>
      <c r="N17" s="3">
        <v>6.6795354965223444E-2</v>
      </c>
      <c r="O17" s="2">
        <v>44287</v>
      </c>
      <c r="P17">
        <v>0.02</v>
      </c>
      <c r="Q17">
        <v>0.06</v>
      </c>
      <c r="R17">
        <v>0.35</v>
      </c>
      <c r="S17">
        <v>0.86</v>
      </c>
      <c r="T17">
        <v>1.64</v>
      </c>
      <c r="U17">
        <v>2.2000000000000002</v>
      </c>
      <c r="V17">
        <v>2.2999999999999998</v>
      </c>
      <c r="W17">
        <v>4.265384904307461E-3</v>
      </c>
      <c r="X17">
        <v>1.6616182870126739E-3</v>
      </c>
      <c r="Z17">
        <v>1.6666666666666668E-3</v>
      </c>
      <c r="AA17">
        <v>5.0000000000000001E-3</v>
      </c>
      <c r="AB17">
        <v>2.9166666666666664E-2</v>
      </c>
      <c r="AC17" s="7">
        <v>5.0758654680893064E-2</v>
      </c>
      <c r="AD17" s="7">
        <v>6.5128688298556781E-2</v>
      </c>
    </row>
    <row r="18" spans="1:30" x14ac:dyDescent="0.3">
      <c r="A18" s="2">
        <v>44317</v>
      </c>
      <c r="B18" s="4">
        <v>4204.10986328125</v>
      </c>
      <c r="C18" s="4">
        <v>4238.0400390625</v>
      </c>
      <c r="D18" s="4">
        <v>4056.8798828125</v>
      </c>
      <c r="E18" s="4">
        <v>4191.97998046875</v>
      </c>
      <c r="F18" s="1">
        <v>88321860000</v>
      </c>
      <c r="G18" s="3">
        <v>5.4864886706070138E-3</v>
      </c>
      <c r="H18" s="2">
        <v>44317</v>
      </c>
      <c r="I18" s="6">
        <v>30.677532196044901</v>
      </c>
      <c r="J18" s="6">
        <v>32.546858185264</v>
      </c>
      <c r="K18" s="6">
        <v>30.067624782845598</v>
      </c>
      <c r="L18" s="6">
        <v>30.923080278212598</v>
      </c>
      <c r="M18" s="6">
        <v>615262500</v>
      </c>
      <c r="N18" s="3">
        <v>2.0700113023552828E-3</v>
      </c>
      <c r="O18" s="2">
        <v>44317</v>
      </c>
      <c r="P18">
        <v>0.02</v>
      </c>
      <c r="Q18">
        <v>0.05</v>
      </c>
      <c r="R18">
        <v>0.32</v>
      </c>
      <c r="S18">
        <v>0.82</v>
      </c>
      <c r="T18">
        <v>1.62</v>
      </c>
      <c r="U18">
        <v>2.2200000000000002</v>
      </c>
      <c r="V18">
        <v>2.3199999999999998</v>
      </c>
      <c r="W18">
        <v>3.4172281578093755E-7</v>
      </c>
      <c r="X18">
        <v>3.8141497400089988E-5</v>
      </c>
      <c r="Z18">
        <v>1.6666666666666668E-3</v>
      </c>
      <c r="AA18">
        <v>4.1666666666666666E-3</v>
      </c>
      <c r="AB18">
        <v>2.6666666666666668E-2</v>
      </c>
      <c r="AC18" s="7">
        <v>3.8198220039403468E-3</v>
      </c>
      <c r="AD18" s="7">
        <v>4.0334463568861604E-4</v>
      </c>
    </row>
    <row r="19" spans="1:30" x14ac:dyDescent="0.3">
      <c r="A19" s="2">
        <v>44348</v>
      </c>
      <c r="B19" s="4">
        <v>4297.5</v>
      </c>
      <c r="C19" s="4">
        <v>4302.43017578125</v>
      </c>
      <c r="D19" s="4">
        <v>4164.39990234375</v>
      </c>
      <c r="E19" s="4">
        <v>4216.52001953125</v>
      </c>
      <c r="F19" s="1">
        <v>102544180000</v>
      </c>
      <c r="G19" s="3">
        <v>2.2214009565834771E-2</v>
      </c>
      <c r="H19" s="2">
        <v>44348</v>
      </c>
      <c r="I19" s="6">
        <v>31.323757171630799</v>
      </c>
      <c r="J19" s="6">
        <v>32.571589255256498</v>
      </c>
      <c r="K19" s="6">
        <v>30.7798306006666</v>
      </c>
      <c r="L19" s="6">
        <v>31.147780030629299</v>
      </c>
      <c r="M19" s="6">
        <v>485677900</v>
      </c>
      <c r="N19" s="3">
        <v>2.1065089964088211E-2</v>
      </c>
      <c r="O19" s="2">
        <v>44348</v>
      </c>
      <c r="P19">
        <v>0.04</v>
      </c>
      <c r="Q19">
        <v>7.0000000000000007E-2</v>
      </c>
      <c r="R19">
        <v>0.39</v>
      </c>
      <c r="S19">
        <v>0.84</v>
      </c>
      <c r="T19">
        <v>1.52</v>
      </c>
      <c r="U19">
        <v>2.09</v>
      </c>
      <c r="V19">
        <v>2.16</v>
      </c>
      <c r="W19">
        <v>3.8336266619708978E-4</v>
      </c>
      <c r="X19">
        <v>1.1133711938726371E-4</v>
      </c>
      <c r="Z19">
        <v>3.3333333333333335E-3</v>
      </c>
      <c r="AA19">
        <v>5.8333333333333336E-3</v>
      </c>
      <c r="AB19">
        <v>3.2500000000000001E-2</v>
      </c>
      <c r="AC19" s="7">
        <v>1.8880676232501437E-2</v>
      </c>
      <c r="AD19" s="7">
        <v>1.7731756630754877E-2</v>
      </c>
    </row>
    <row r="20" spans="1:30" x14ac:dyDescent="0.3">
      <c r="A20" s="2">
        <v>44378</v>
      </c>
      <c r="B20" s="4">
        <v>4395.259765625</v>
      </c>
      <c r="C20" s="4">
        <v>4429.97021484375</v>
      </c>
      <c r="D20" s="4">
        <v>4233.1298828125</v>
      </c>
      <c r="E20" s="4">
        <v>4300.72998046875</v>
      </c>
      <c r="F20" s="1">
        <v>84255620000</v>
      </c>
      <c r="G20" s="3">
        <v>2.2748054828388597E-2</v>
      </c>
      <c r="H20" s="2">
        <v>44378</v>
      </c>
      <c r="I20" s="6">
        <v>34.243366241455</v>
      </c>
      <c r="J20" s="6">
        <v>34.987265798409197</v>
      </c>
      <c r="K20" s="6">
        <v>31.139785458213101</v>
      </c>
      <c r="L20" s="6">
        <v>31.3317577656785</v>
      </c>
      <c r="M20" s="6">
        <v>525510400</v>
      </c>
      <c r="N20" s="3">
        <v>9.3207499145997186E-2</v>
      </c>
      <c r="O20" s="2">
        <v>44378</v>
      </c>
      <c r="P20">
        <v>0.05</v>
      </c>
      <c r="Q20">
        <v>0.08</v>
      </c>
      <c r="R20">
        <v>0.4</v>
      </c>
      <c r="S20">
        <v>0.76</v>
      </c>
      <c r="T20">
        <v>1.32</v>
      </c>
      <c r="U20">
        <v>1.87</v>
      </c>
      <c r="V20">
        <v>1.94</v>
      </c>
      <c r="W20">
        <v>8.4129360097513328E-3</v>
      </c>
      <c r="X20">
        <v>1.2289243108072774E-4</v>
      </c>
      <c r="Z20">
        <v>4.1666666666666666E-3</v>
      </c>
      <c r="AA20">
        <v>6.6666666666666671E-3</v>
      </c>
      <c r="AB20">
        <v>3.3333333333333333E-2</v>
      </c>
      <c r="AC20" s="7">
        <v>1.8581388161721932E-2</v>
      </c>
      <c r="AD20" s="7">
        <v>8.904083247933052E-2</v>
      </c>
    </row>
    <row r="21" spans="1:30" x14ac:dyDescent="0.3">
      <c r="A21" s="2">
        <v>44409</v>
      </c>
      <c r="B21" s="4">
        <v>4522.68017578125</v>
      </c>
      <c r="C21" s="4">
        <v>4537.35986328125</v>
      </c>
      <c r="D21" s="4">
        <v>4367.72998046875</v>
      </c>
      <c r="E21" s="4">
        <v>4406.85986328125</v>
      </c>
      <c r="F21" s="1">
        <v>80500760000</v>
      </c>
      <c r="G21" s="3">
        <v>2.8990416255438543E-2</v>
      </c>
      <c r="H21" s="2">
        <v>44409</v>
      </c>
      <c r="I21" s="6">
        <v>37.184776306152301</v>
      </c>
      <c r="J21" s="6">
        <v>41.8580971284333</v>
      </c>
      <c r="K21" s="6">
        <v>34.908651745047997</v>
      </c>
      <c r="L21" s="6">
        <v>34.949007952078396</v>
      </c>
      <c r="M21" s="6">
        <v>1008466500</v>
      </c>
      <c r="N21" s="3">
        <v>8.5897222952819152E-2</v>
      </c>
      <c r="O21" s="2">
        <v>44409</v>
      </c>
      <c r="P21">
        <v>0.05</v>
      </c>
      <c r="Q21">
        <v>7.0000000000000007E-2</v>
      </c>
      <c r="R21">
        <v>0.42</v>
      </c>
      <c r="S21">
        <v>0.77</v>
      </c>
      <c r="T21">
        <v>1.28</v>
      </c>
      <c r="U21">
        <v>1.83</v>
      </c>
      <c r="V21">
        <v>1.92</v>
      </c>
      <c r="W21">
        <v>7.1253489869445834E-3</v>
      </c>
      <c r="X21">
        <v>3.0026122292936395E-4</v>
      </c>
      <c r="Z21">
        <v>4.1666666666666666E-3</v>
      </c>
      <c r="AA21">
        <v>5.8333333333333336E-3</v>
      </c>
      <c r="AB21">
        <v>3.4999999999999996E-2</v>
      </c>
      <c r="AC21" s="7">
        <v>2.4823749588771878E-2</v>
      </c>
      <c r="AD21" s="7">
        <v>8.1730556286152486E-2</v>
      </c>
    </row>
    <row r="22" spans="1:30" x14ac:dyDescent="0.3">
      <c r="A22" s="2">
        <v>44440</v>
      </c>
      <c r="B22" s="4">
        <v>4307.5400390625</v>
      </c>
      <c r="C22" s="4">
        <v>4545.85009765625</v>
      </c>
      <c r="D22" s="4">
        <v>4305.91015625</v>
      </c>
      <c r="E22" s="4">
        <v>4528.7998046875</v>
      </c>
      <c r="F22" s="1">
        <v>85528860000</v>
      </c>
      <c r="G22" s="3">
        <v>-4.7569168801901096E-2</v>
      </c>
      <c r="H22" s="2">
        <v>44440</v>
      </c>
      <c r="I22" s="6">
        <v>34.714927673339801</v>
      </c>
      <c r="J22" s="6">
        <v>38.338970677384999</v>
      </c>
      <c r="K22" s="6">
        <v>34.246790264033102</v>
      </c>
      <c r="L22" s="6">
        <v>37.281621114481098</v>
      </c>
      <c r="M22" s="6">
        <v>544666400</v>
      </c>
      <c r="N22" s="3">
        <v>-6.6420962505665482E-2</v>
      </c>
      <c r="O22" s="2">
        <v>44440</v>
      </c>
      <c r="P22">
        <v>0.04</v>
      </c>
      <c r="Q22">
        <v>0.08</v>
      </c>
      <c r="R22">
        <v>0.47</v>
      </c>
      <c r="S22">
        <v>0.86</v>
      </c>
      <c r="T22">
        <v>1.37</v>
      </c>
      <c r="U22">
        <v>1.87</v>
      </c>
      <c r="V22">
        <v>1.94</v>
      </c>
      <c r="W22">
        <v>4.6112795932354506E-3</v>
      </c>
      <c r="X22">
        <v>3.5083750661303453E-3</v>
      </c>
      <c r="Z22">
        <v>3.3333333333333335E-3</v>
      </c>
      <c r="AA22">
        <v>6.6666666666666671E-3</v>
      </c>
      <c r="AB22">
        <v>3.9166666666666662E-2</v>
      </c>
      <c r="AC22" s="7">
        <v>-5.090250213523443E-2</v>
      </c>
      <c r="AD22" s="7">
        <v>-6.9754295838998809E-2</v>
      </c>
    </row>
    <row r="23" spans="1:30" x14ac:dyDescent="0.3">
      <c r="A23" s="2">
        <v>44470</v>
      </c>
      <c r="B23" s="4">
        <v>4605.3798828125</v>
      </c>
      <c r="C23" s="4">
        <v>4608.080078125</v>
      </c>
      <c r="D23" s="4">
        <v>4278.93994140625</v>
      </c>
      <c r="E23" s="4">
        <v>4317.16015625</v>
      </c>
      <c r="F23" s="1">
        <v>80253600000</v>
      </c>
      <c r="G23" s="3">
        <v>6.914383640060659E-2</v>
      </c>
      <c r="H23" s="2">
        <v>44470</v>
      </c>
      <c r="I23" s="6">
        <v>35.30415725708</v>
      </c>
      <c r="J23" s="6">
        <v>35.376799676334599</v>
      </c>
      <c r="K23" s="6">
        <v>33.044172248706602</v>
      </c>
      <c r="L23" s="6">
        <v>34.319449591402503</v>
      </c>
      <c r="M23" s="6">
        <v>471555700</v>
      </c>
      <c r="N23" s="3">
        <v>1.6973377829985009E-2</v>
      </c>
      <c r="O23" s="2">
        <v>44470</v>
      </c>
      <c r="P23">
        <v>0.05</v>
      </c>
      <c r="Q23">
        <v>0.11</v>
      </c>
      <c r="R23">
        <v>0.67</v>
      </c>
      <c r="S23">
        <v>1.1100000000000001</v>
      </c>
      <c r="T23">
        <v>1.58</v>
      </c>
      <c r="U23">
        <v>2.0299999999999998</v>
      </c>
      <c r="V23">
        <v>2.06</v>
      </c>
      <c r="W23">
        <v>2.3987619724826048E-4</v>
      </c>
      <c r="X23">
        <v>3.3041190986491881E-3</v>
      </c>
      <c r="Z23">
        <v>4.1666666666666666E-3</v>
      </c>
      <c r="AA23">
        <v>9.1666666666666667E-3</v>
      </c>
      <c r="AB23">
        <v>5.5833333333333339E-2</v>
      </c>
      <c r="AC23" s="7">
        <v>6.4977169733939924E-2</v>
      </c>
      <c r="AD23" s="7">
        <v>1.2806711163318343E-2</v>
      </c>
    </row>
    <row r="24" spans="1:30" x14ac:dyDescent="0.3">
      <c r="A24" s="2">
        <v>44501</v>
      </c>
      <c r="B24" s="4">
        <v>4567</v>
      </c>
      <c r="C24" s="4">
        <v>4743.830078125</v>
      </c>
      <c r="D24" s="4">
        <v>4560</v>
      </c>
      <c r="E24" s="4">
        <v>4610.6201171875</v>
      </c>
      <c r="F24" s="1">
        <v>88268840000</v>
      </c>
      <c r="G24" s="3">
        <v>-8.3337061847461435E-3</v>
      </c>
      <c r="H24" s="2">
        <v>44501</v>
      </c>
      <c r="I24" s="6">
        <v>43.367439270019503</v>
      </c>
      <c r="J24" s="6">
        <v>44.957498995100003</v>
      </c>
      <c r="K24" s="6">
        <v>34.747222099267198</v>
      </c>
      <c r="L24" s="6">
        <v>35.627000916024997</v>
      </c>
      <c r="M24" s="6">
        <v>1010245500</v>
      </c>
      <c r="N24" s="3">
        <v>0.22839468888107983</v>
      </c>
      <c r="O24" s="2">
        <v>44501</v>
      </c>
      <c r="P24">
        <v>0.05</v>
      </c>
      <c r="Q24">
        <v>0.18</v>
      </c>
      <c r="R24">
        <v>0.82</v>
      </c>
      <c r="S24">
        <v>1.2</v>
      </c>
      <c r="T24">
        <v>1.56</v>
      </c>
      <c r="U24">
        <v>1.97</v>
      </c>
      <c r="V24">
        <v>1.94</v>
      </c>
      <c r="W24">
        <v>5.1487806920444704E-2</v>
      </c>
      <c r="X24">
        <v>3.9984302136003444E-4</v>
      </c>
      <c r="Z24">
        <v>4.1666666666666666E-3</v>
      </c>
      <c r="AA24">
        <v>1.4999999999999999E-2</v>
      </c>
      <c r="AB24">
        <v>6.8333333333333329E-2</v>
      </c>
      <c r="AC24" s="7">
        <v>-1.2500372851412811E-2</v>
      </c>
      <c r="AD24" s="7">
        <v>0.22422802221441315</v>
      </c>
    </row>
    <row r="25" spans="1:30" x14ac:dyDescent="0.3">
      <c r="A25" s="2">
        <v>44531</v>
      </c>
      <c r="B25" s="4">
        <v>4766.18017578125</v>
      </c>
      <c r="C25" s="4">
        <v>4808.93017578125</v>
      </c>
      <c r="D25" s="4">
        <v>4495.1201171875</v>
      </c>
      <c r="E25" s="4">
        <v>4602.81982421875</v>
      </c>
      <c r="F25" s="1">
        <v>92750180000</v>
      </c>
      <c r="G25" s="3">
        <v>4.3612913462064813E-2</v>
      </c>
      <c r="H25" s="2">
        <v>44531</v>
      </c>
      <c r="I25" s="6">
        <v>48.079776763916001</v>
      </c>
      <c r="J25" s="6">
        <v>50.245605731028903</v>
      </c>
      <c r="K25" s="6">
        <v>41.0367629733082</v>
      </c>
      <c r="L25" s="6">
        <v>42.7222011530611</v>
      </c>
      <c r="M25" s="6">
        <v>1064029400</v>
      </c>
      <c r="N25" s="3">
        <v>0.10866072733868336</v>
      </c>
      <c r="O25" s="2">
        <v>44531</v>
      </c>
      <c r="P25">
        <v>0.06</v>
      </c>
      <c r="Q25">
        <v>0.3</v>
      </c>
      <c r="R25">
        <v>0.95</v>
      </c>
      <c r="S25">
        <v>1.23</v>
      </c>
      <c r="T25">
        <v>1.47</v>
      </c>
      <c r="U25">
        <v>1.9</v>
      </c>
      <c r="V25">
        <v>1.85</v>
      </c>
      <c r="W25">
        <v>1.1486542070968659E-2</v>
      </c>
      <c r="X25">
        <v>1.0208372937136618E-3</v>
      </c>
      <c r="Z25">
        <v>5.0000000000000001E-3</v>
      </c>
      <c r="AA25">
        <v>2.4999999999999998E-2</v>
      </c>
      <c r="AB25">
        <v>7.9166666666666663E-2</v>
      </c>
      <c r="AC25" s="7">
        <v>3.8612913462064816E-2</v>
      </c>
      <c r="AD25" s="7">
        <v>0.10366072733868335</v>
      </c>
    </row>
    <row r="26" spans="1:30" x14ac:dyDescent="0.3">
      <c r="A26" s="2">
        <v>44562</v>
      </c>
      <c r="B26" s="4">
        <v>4515.5498046875</v>
      </c>
      <c r="C26" s="4">
        <v>4818.6201171875</v>
      </c>
      <c r="D26" s="4">
        <v>4222.6201171875</v>
      </c>
      <c r="E26" s="4">
        <v>4778.14013671875</v>
      </c>
      <c r="F26" s="1">
        <v>95562890000</v>
      </c>
      <c r="G26" s="3">
        <v>-5.258516502739384E-2</v>
      </c>
      <c r="H26" s="2">
        <v>44562</v>
      </c>
      <c r="I26" s="6">
        <v>42.901317596435497</v>
      </c>
      <c r="J26" s="6">
        <v>47.672654735407498</v>
      </c>
      <c r="K26" s="6">
        <v>40.564503421310299</v>
      </c>
      <c r="L26" s="6">
        <v>47.6319442931106</v>
      </c>
      <c r="M26" s="6">
        <v>778212000</v>
      </c>
      <c r="N26" s="3">
        <v>-0.10770555763825741</v>
      </c>
      <c r="O26" s="2">
        <v>44562</v>
      </c>
      <c r="P26">
        <v>0.15</v>
      </c>
      <c r="Q26">
        <v>0.55000000000000004</v>
      </c>
      <c r="R26">
        <v>1.25</v>
      </c>
      <c r="S26">
        <v>1.54</v>
      </c>
      <c r="T26">
        <v>1.76</v>
      </c>
      <c r="U26">
        <v>2.15</v>
      </c>
      <c r="V26">
        <v>2.1</v>
      </c>
      <c r="W26">
        <v>1.1922674113128744E-2</v>
      </c>
      <c r="X26">
        <v>4.1277456239937216E-3</v>
      </c>
      <c r="Z26">
        <v>1.2499999999999999E-2</v>
      </c>
      <c r="AA26">
        <v>4.5833333333333337E-2</v>
      </c>
      <c r="AB26">
        <v>0.10416666666666667</v>
      </c>
      <c r="AC26" s="7">
        <v>-6.5085165027393838E-2</v>
      </c>
      <c r="AD26" s="7">
        <v>-0.12020555763825741</v>
      </c>
    </row>
    <row r="27" spans="1:30" x14ac:dyDescent="0.3">
      <c r="A27" s="2">
        <v>44593</v>
      </c>
      <c r="B27" s="4">
        <v>4373.93994140625</v>
      </c>
      <c r="C27" s="4">
        <v>4595.31005859375</v>
      </c>
      <c r="D27" s="4">
        <v>4114.64990234375</v>
      </c>
      <c r="E27" s="4">
        <v>4519.56982421875</v>
      </c>
      <c r="F27" s="1">
        <v>92667710000</v>
      </c>
      <c r="G27" s="3">
        <v>-3.1360491945908266E-2</v>
      </c>
      <c r="H27" s="2">
        <v>44593</v>
      </c>
      <c r="I27" s="6">
        <v>38.510139465332003</v>
      </c>
      <c r="J27" s="6">
        <v>44.408903949255098</v>
      </c>
      <c r="K27" s="6">
        <v>37.246707320802102</v>
      </c>
      <c r="L27" s="6">
        <v>43.268531731143703</v>
      </c>
      <c r="M27" s="6">
        <v>634804800</v>
      </c>
      <c r="N27" s="3">
        <v>-0.10235532093467312</v>
      </c>
      <c r="O27" s="2">
        <v>44593</v>
      </c>
      <c r="P27">
        <v>0.33</v>
      </c>
      <c r="Q27">
        <v>1</v>
      </c>
      <c r="R27">
        <v>1.65</v>
      </c>
      <c r="S27">
        <v>1.81</v>
      </c>
      <c r="T27">
        <v>1.93</v>
      </c>
      <c r="U27">
        <v>2.31</v>
      </c>
      <c r="V27">
        <v>2.25</v>
      </c>
      <c r="W27">
        <v>1.0782903772136258E-2</v>
      </c>
      <c r="X27">
        <v>1.8509665608856442E-3</v>
      </c>
      <c r="Z27">
        <v>2.75E-2</v>
      </c>
      <c r="AA27">
        <v>8.3333333333333329E-2</v>
      </c>
      <c r="AB27">
        <v>0.13749999999999998</v>
      </c>
      <c r="AC27" s="7">
        <v>-5.8860491945908269E-2</v>
      </c>
      <c r="AD27" s="7">
        <v>-0.12985532093467311</v>
      </c>
    </row>
    <row r="28" spans="1:30" x14ac:dyDescent="0.3">
      <c r="A28" s="2">
        <v>44621</v>
      </c>
      <c r="B28" s="4">
        <v>4530.41015625</v>
      </c>
      <c r="C28" s="4">
        <v>4637.2998046875</v>
      </c>
      <c r="D28" s="4">
        <v>4157.8701171875</v>
      </c>
      <c r="E28" s="4">
        <v>4363.14013671875</v>
      </c>
      <c r="F28" s="1">
        <v>123546260000</v>
      </c>
      <c r="G28" s="3">
        <v>3.5773288371546273E-2</v>
      </c>
      <c r="H28" s="2">
        <v>44621</v>
      </c>
      <c r="I28" s="6">
        <v>42.472732543945298</v>
      </c>
      <c r="J28" s="6">
        <v>45.368786102141598</v>
      </c>
      <c r="K28" s="6">
        <v>37.279522723667</v>
      </c>
      <c r="L28" s="6">
        <v>38.305037794373703</v>
      </c>
      <c r="M28" s="6">
        <v>718106000</v>
      </c>
      <c r="N28" s="3">
        <v>0.1028973962086152</v>
      </c>
      <c r="O28" s="2">
        <v>44621</v>
      </c>
      <c r="P28">
        <v>0.44</v>
      </c>
      <c r="Q28">
        <v>1.34</v>
      </c>
      <c r="R28">
        <v>2.09</v>
      </c>
      <c r="S28">
        <v>2.11</v>
      </c>
      <c r="T28">
        <v>2.13</v>
      </c>
      <c r="U28">
        <v>2.5099999999999998</v>
      </c>
      <c r="V28">
        <v>2.41</v>
      </c>
      <c r="W28">
        <v>1.0284384724703392E-2</v>
      </c>
      <c r="X28">
        <v>5.8133643467028068E-4</v>
      </c>
      <c r="Z28">
        <v>3.6666666666666667E-2</v>
      </c>
      <c r="AA28">
        <v>0.11166666666666668</v>
      </c>
      <c r="AB28">
        <v>0.17416666666666666</v>
      </c>
      <c r="AC28" s="7">
        <v>-8.9337829512039363E-4</v>
      </c>
      <c r="AD28" s="7">
        <v>6.623072954194853E-2</v>
      </c>
    </row>
    <row r="29" spans="1:30" x14ac:dyDescent="0.3">
      <c r="A29" s="2">
        <v>44652</v>
      </c>
      <c r="B29" s="4">
        <v>4131.93017578125</v>
      </c>
      <c r="C29" s="4">
        <v>4593.4501953125</v>
      </c>
      <c r="D29" s="4">
        <v>4124.27978515625</v>
      </c>
      <c r="E29" s="4">
        <v>4540.31982421875</v>
      </c>
      <c r="F29" s="1">
        <v>90367840000</v>
      </c>
      <c r="G29" s="3">
        <v>-8.7956711804343043E-2</v>
      </c>
      <c r="H29" s="2">
        <v>44652</v>
      </c>
      <c r="I29" s="6">
        <v>40.257614135742102</v>
      </c>
      <c r="J29" s="6">
        <v>46.205600773184798</v>
      </c>
      <c r="K29" s="6">
        <v>38.657810207332901</v>
      </c>
      <c r="L29" s="6">
        <v>42.759869957293397</v>
      </c>
      <c r="M29" s="6">
        <v>482896600</v>
      </c>
      <c r="N29" s="3">
        <v>-5.2153894405340594E-2</v>
      </c>
      <c r="O29" s="2">
        <v>44652</v>
      </c>
      <c r="P29">
        <v>0.76</v>
      </c>
      <c r="Q29">
        <v>1.89</v>
      </c>
      <c r="R29">
        <v>2.72</v>
      </c>
      <c r="S29">
        <v>2.78</v>
      </c>
      <c r="T29">
        <v>2.75</v>
      </c>
      <c r="U29">
        <v>2.99</v>
      </c>
      <c r="V29">
        <v>2.81</v>
      </c>
      <c r="W29">
        <v>2.8771782680983089E-3</v>
      </c>
      <c r="X29">
        <v>9.9239612531582082E-3</v>
      </c>
      <c r="Z29">
        <v>6.3333333333333339E-2</v>
      </c>
      <c r="AA29">
        <v>0.1575</v>
      </c>
      <c r="AB29">
        <v>0.22666666666666668</v>
      </c>
      <c r="AC29" s="7">
        <v>-0.15129004513767638</v>
      </c>
      <c r="AD29" s="7">
        <v>-0.11548722773867393</v>
      </c>
    </row>
    <row r="30" spans="1:30" x14ac:dyDescent="0.3">
      <c r="A30" s="2">
        <v>44682</v>
      </c>
      <c r="B30" s="4">
        <v>4132.14990234375</v>
      </c>
      <c r="C30" s="4">
        <v>4307.66015625</v>
      </c>
      <c r="D30" s="5" t="s">
        <v>40</v>
      </c>
      <c r="E30" s="4">
        <v>4130.60986328125</v>
      </c>
      <c r="F30" s="1">
        <v>108860390000</v>
      </c>
      <c r="G30" s="3">
        <v>5.3177704644647078E-5</v>
      </c>
      <c r="H30" s="2">
        <v>44682</v>
      </c>
      <c r="I30" s="6">
        <v>43.514656066894503</v>
      </c>
      <c r="J30" s="6">
        <v>45.057028474079701</v>
      </c>
      <c r="K30" s="6">
        <v>38.936755306340302</v>
      </c>
      <c r="L30" s="6">
        <v>39.117246959582197</v>
      </c>
      <c r="M30" s="6">
        <v>583220400</v>
      </c>
      <c r="N30" s="3">
        <v>8.0904991541977306E-2</v>
      </c>
      <c r="O30" s="2">
        <v>44682</v>
      </c>
      <c r="P30">
        <v>0.98</v>
      </c>
      <c r="Q30">
        <v>2.06</v>
      </c>
      <c r="R30">
        <v>2.79</v>
      </c>
      <c r="S30">
        <v>2.87</v>
      </c>
      <c r="T30">
        <v>2.9</v>
      </c>
      <c r="U30">
        <v>3.26</v>
      </c>
      <c r="V30">
        <v>3.07</v>
      </c>
      <c r="W30">
        <v>6.3074650595611164E-3</v>
      </c>
      <c r="X30">
        <v>1.3477332169962015E-4</v>
      </c>
      <c r="Z30">
        <v>8.1666666666666665E-2</v>
      </c>
      <c r="AA30">
        <v>0.17166666666666666</v>
      </c>
      <c r="AB30">
        <v>0.23250000000000001</v>
      </c>
      <c r="AC30" s="7">
        <v>-8.1613488962022016E-2</v>
      </c>
      <c r="AD30" s="7">
        <v>-7.6167512468935938E-4</v>
      </c>
    </row>
    <row r="31" spans="1:30" x14ac:dyDescent="0.3">
      <c r="A31" s="2">
        <v>44713</v>
      </c>
      <c r="B31" s="4">
        <v>3785.3798828125</v>
      </c>
      <c r="C31" s="4">
        <v>4177.509765625</v>
      </c>
      <c r="D31" s="4">
        <v>3636.8701171875</v>
      </c>
      <c r="E31" s="4">
        <v>4149.77978515625</v>
      </c>
      <c r="F31" s="1">
        <v>106116710000</v>
      </c>
      <c r="G31" s="3">
        <v>-8.3919999933826817E-2</v>
      </c>
      <c r="H31" s="2">
        <v>44713</v>
      </c>
      <c r="I31" s="6">
        <v>43.364982604980398</v>
      </c>
      <c r="J31" s="6">
        <v>45.1267117434464</v>
      </c>
      <c r="K31" s="6">
        <v>38.278301169962099</v>
      </c>
      <c r="L31" s="6">
        <v>44.043206375630099</v>
      </c>
      <c r="M31" s="6">
        <v>449186100</v>
      </c>
      <c r="N31" s="3">
        <v>-3.4396103621734736E-3</v>
      </c>
      <c r="O31" s="2">
        <v>44713</v>
      </c>
      <c r="P31">
        <v>1.49</v>
      </c>
      <c r="Q31">
        <v>2.65</v>
      </c>
      <c r="R31">
        <v>3.15</v>
      </c>
      <c r="S31">
        <v>3.19</v>
      </c>
      <c r="T31">
        <v>3.14</v>
      </c>
      <c r="U31">
        <v>3.48</v>
      </c>
      <c r="V31">
        <v>3.25</v>
      </c>
      <c r="W31">
        <v>2.4256127740547475E-5</v>
      </c>
      <c r="X31">
        <v>9.1359892441476472E-3</v>
      </c>
      <c r="Z31">
        <v>0.12416666666666666</v>
      </c>
      <c r="AA31">
        <v>0.22083333333333333</v>
      </c>
      <c r="AB31">
        <v>0.26250000000000001</v>
      </c>
      <c r="AC31" s="7">
        <v>-0.20808666660049346</v>
      </c>
      <c r="AD31" s="7">
        <v>-0.12760627702884014</v>
      </c>
    </row>
    <row r="32" spans="1:30" x14ac:dyDescent="0.3">
      <c r="A32" s="2">
        <v>44743</v>
      </c>
      <c r="B32" s="4">
        <v>4130.2900390625</v>
      </c>
      <c r="C32" s="4">
        <v>4140.14990234375</v>
      </c>
      <c r="D32" s="4">
        <v>3721.56005859375</v>
      </c>
      <c r="E32" s="4">
        <v>3781</v>
      </c>
      <c r="F32" s="1">
        <v>81688320000</v>
      </c>
      <c r="G32" s="3">
        <v>9.1116391730209953E-2</v>
      </c>
      <c r="H32" s="2">
        <v>44743</v>
      </c>
      <c r="I32" s="6">
        <v>41.776943206787102</v>
      </c>
      <c r="J32" s="6">
        <v>44.5973624246542</v>
      </c>
      <c r="K32" s="6">
        <v>40.610728882804402</v>
      </c>
      <c r="L32" s="6">
        <v>43.042412096107597</v>
      </c>
      <c r="M32" s="6">
        <v>340227500</v>
      </c>
      <c r="N32" s="3">
        <v>-3.662031673479587E-2</v>
      </c>
      <c r="O32" s="2">
        <v>44743</v>
      </c>
      <c r="P32">
        <v>2.23</v>
      </c>
      <c r="Q32">
        <v>3.02</v>
      </c>
      <c r="R32">
        <v>3.03</v>
      </c>
      <c r="S32">
        <v>2.96</v>
      </c>
      <c r="T32">
        <v>2.9</v>
      </c>
      <c r="U32">
        <v>3.35</v>
      </c>
      <c r="V32">
        <v>3.1</v>
      </c>
      <c r="W32">
        <v>1.4520487479427583E-3</v>
      </c>
      <c r="X32">
        <v>6.3129417337106355E-3</v>
      </c>
      <c r="Z32">
        <v>0.18583333333333332</v>
      </c>
      <c r="AA32">
        <v>0.25166666666666665</v>
      </c>
      <c r="AB32">
        <v>0.2525</v>
      </c>
      <c r="AC32" s="7">
        <v>-9.471694160312337E-2</v>
      </c>
      <c r="AD32" s="7">
        <v>-0.2224536500681292</v>
      </c>
    </row>
    <row r="33" spans="1:30" x14ac:dyDescent="0.3">
      <c r="A33" s="2">
        <v>44774</v>
      </c>
      <c r="B33" s="4">
        <v>3955</v>
      </c>
      <c r="C33" s="4">
        <v>4325.27978515625</v>
      </c>
      <c r="D33" s="5" t="s">
        <v>41</v>
      </c>
      <c r="E33" s="4">
        <v>4112.3798828125</v>
      </c>
      <c r="F33" s="1">
        <v>92252350000</v>
      </c>
      <c r="G33" s="3">
        <v>-4.2440128272998381E-2</v>
      </c>
      <c r="H33" s="2">
        <v>44774</v>
      </c>
      <c r="I33" s="6">
        <v>37.700122833251903</v>
      </c>
      <c r="J33" s="6">
        <v>42.901290910607699</v>
      </c>
      <c r="K33" s="6">
        <v>37.616772075001698</v>
      </c>
      <c r="L33" s="6">
        <v>41.942741292591997</v>
      </c>
      <c r="M33" s="6">
        <v>411896600</v>
      </c>
      <c r="N33" s="3">
        <v>-9.7585415796359098E-2</v>
      </c>
      <c r="O33" s="2">
        <v>44774</v>
      </c>
      <c r="P33">
        <v>2.63</v>
      </c>
      <c r="Q33">
        <v>3.28</v>
      </c>
      <c r="R33">
        <v>3.23</v>
      </c>
      <c r="S33">
        <v>3.03</v>
      </c>
      <c r="T33">
        <v>2.9</v>
      </c>
      <c r="U33">
        <v>3.35</v>
      </c>
      <c r="V33">
        <v>3.13</v>
      </c>
      <c r="W33">
        <v>9.815034602406833E-3</v>
      </c>
      <c r="X33">
        <v>2.9270802072949246E-3</v>
      </c>
      <c r="Z33">
        <v>0.21916666666666665</v>
      </c>
      <c r="AA33">
        <v>0.27333333333333332</v>
      </c>
      <c r="AB33">
        <v>0.26916666666666667</v>
      </c>
      <c r="AC33" s="7">
        <v>-0.26160679493966504</v>
      </c>
      <c r="AD33" s="7">
        <v>-0.31675208246302577</v>
      </c>
    </row>
    <row r="34" spans="1:30" x14ac:dyDescent="0.3">
      <c r="A34" s="2">
        <v>44805</v>
      </c>
      <c r="B34" s="4">
        <v>3585.6201171875</v>
      </c>
      <c r="C34" s="4">
        <v>4119.27978515625</v>
      </c>
      <c r="D34" s="4">
        <v>3584.1298828125</v>
      </c>
      <c r="E34" s="4">
        <v>3936.72998046875</v>
      </c>
      <c r="F34" s="1">
        <v>94241020000</v>
      </c>
      <c r="G34" s="3">
        <v>-9.3395672013274339E-2</v>
      </c>
      <c r="H34" s="2">
        <v>44805</v>
      </c>
      <c r="I34" s="6">
        <v>36.474845886230398</v>
      </c>
      <c r="J34" s="6">
        <v>40.300704081042902</v>
      </c>
      <c r="K34" s="6">
        <v>36.274802800540698</v>
      </c>
      <c r="L34" s="6">
        <v>37.625104757642802</v>
      </c>
      <c r="M34" s="6">
        <v>376670300</v>
      </c>
      <c r="N34" s="3">
        <v>-3.2500608882388003E-2</v>
      </c>
      <c r="O34" s="2">
        <v>44805</v>
      </c>
      <c r="P34">
        <v>3.13</v>
      </c>
      <c r="Q34">
        <v>3.89</v>
      </c>
      <c r="R34">
        <v>3.88</v>
      </c>
      <c r="S34">
        <v>3.7</v>
      </c>
      <c r="T34">
        <v>3.52</v>
      </c>
      <c r="U34">
        <v>3.82</v>
      </c>
      <c r="V34">
        <v>3.56</v>
      </c>
      <c r="W34">
        <v>1.1550515646675569E-3</v>
      </c>
      <c r="X34">
        <v>1.1037191974012766E-2</v>
      </c>
      <c r="Z34">
        <v>0.26083333333333331</v>
      </c>
      <c r="AA34">
        <v>0.32416666666666666</v>
      </c>
      <c r="AB34">
        <v>0.32333333333333331</v>
      </c>
      <c r="AC34" s="7">
        <v>-0.35422900534660762</v>
      </c>
      <c r="AD34" s="7">
        <v>-0.29333394221572129</v>
      </c>
    </row>
    <row r="35" spans="1:30" x14ac:dyDescent="0.3">
      <c r="A35" s="2">
        <v>44835</v>
      </c>
      <c r="B35" s="4">
        <v>3871.97998046875</v>
      </c>
      <c r="C35" s="4">
        <v>3905.419921875</v>
      </c>
      <c r="D35" s="4">
        <v>3491.580078125</v>
      </c>
      <c r="E35" s="5" t="s">
        <v>42</v>
      </c>
      <c r="F35" s="1">
        <v>95823760000</v>
      </c>
      <c r="G35" s="3">
        <v>7.9863413837008998E-2</v>
      </c>
      <c r="H35" s="2">
        <v>44835</v>
      </c>
      <c r="I35" s="6">
        <v>38.800376892089801</v>
      </c>
      <c r="J35" s="6">
        <v>39.608892758167499</v>
      </c>
      <c r="K35" s="6">
        <v>34.549423805339998</v>
      </c>
      <c r="L35" s="6">
        <v>36.7332465267176</v>
      </c>
      <c r="M35" s="6">
        <v>466825100</v>
      </c>
      <c r="N35" s="3">
        <v>6.3757116702097258E-2</v>
      </c>
      <c r="O35" s="2">
        <v>44835</v>
      </c>
      <c r="P35">
        <v>3.72</v>
      </c>
      <c r="Q35">
        <v>4.43</v>
      </c>
      <c r="R35">
        <v>4.38</v>
      </c>
      <c r="S35">
        <v>4.18</v>
      </c>
      <c r="T35">
        <v>3.98</v>
      </c>
      <c r="U35">
        <v>4.28</v>
      </c>
      <c r="V35">
        <v>4.04</v>
      </c>
      <c r="W35">
        <v>3.8777616349483257E-3</v>
      </c>
      <c r="X35">
        <v>4.6513825217506391E-3</v>
      </c>
      <c r="Z35">
        <v>0.31</v>
      </c>
      <c r="AA35">
        <v>0.36916666666666664</v>
      </c>
      <c r="AB35">
        <v>0.36499999999999999</v>
      </c>
      <c r="AC35" s="7">
        <v>-0.23013658616299099</v>
      </c>
      <c r="AD35" s="7">
        <v>-0.24624288329790273</v>
      </c>
    </row>
    <row r="36" spans="1:30" x14ac:dyDescent="0.3">
      <c r="A36" s="2">
        <v>44866</v>
      </c>
      <c r="B36" s="5" t="s">
        <v>43</v>
      </c>
      <c r="C36" s="5" t="s">
        <v>43</v>
      </c>
      <c r="D36" s="4">
        <v>3698.14990234375</v>
      </c>
      <c r="E36" s="4">
        <v>3901.7900390625</v>
      </c>
      <c r="F36" s="1">
        <v>92671910000</v>
      </c>
      <c r="G36" s="3">
        <v>5.3752893352491796E-2</v>
      </c>
      <c r="H36" s="2">
        <v>44866</v>
      </c>
      <c r="I36" s="6">
        <v>41.784370422363203</v>
      </c>
      <c r="J36" s="6">
        <v>41.784370422363203</v>
      </c>
      <c r="K36" s="6">
        <v>38.475294059933198</v>
      </c>
      <c r="L36" s="6">
        <v>40.0089714250797</v>
      </c>
      <c r="M36" s="6">
        <v>419484600</v>
      </c>
      <c r="N36" s="3">
        <v>7.6906302703511786E-2</v>
      </c>
      <c r="O36" s="2">
        <v>44866</v>
      </c>
      <c r="P36">
        <v>4.1500000000000004</v>
      </c>
      <c r="Q36">
        <v>4.7300000000000004</v>
      </c>
      <c r="R36">
        <v>4.34</v>
      </c>
      <c r="S36">
        <v>4.0599999999999996</v>
      </c>
      <c r="T36">
        <v>3.89</v>
      </c>
      <c r="U36">
        <v>4.22</v>
      </c>
      <c r="V36">
        <v>4</v>
      </c>
      <c r="W36">
        <v>5.6883064287902184E-3</v>
      </c>
      <c r="X36">
        <v>1.7716122432861585E-3</v>
      </c>
      <c r="Z36">
        <v>0.34583333333333338</v>
      </c>
      <c r="AA36">
        <v>0.39416666666666672</v>
      </c>
      <c r="AB36">
        <v>0.36166666666666664</v>
      </c>
      <c r="AC36" s="7">
        <v>-0.2920804399808416</v>
      </c>
      <c r="AD36" s="7">
        <v>-0.2689270306298216</v>
      </c>
    </row>
    <row r="37" spans="1:30" x14ac:dyDescent="0.3">
      <c r="A37" s="2">
        <v>44896</v>
      </c>
      <c r="B37" s="4">
        <v>3839.5</v>
      </c>
      <c r="C37" s="4">
        <v>4100.9599609375</v>
      </c>
      <c r="D37" s="5" t="s">
        <v>44</v>
      </c>
      <c r="E37" s="5" t="s">
        <v>45</v>
      </c>
      <c r="F37" s="1">
        <v>85249330000</v>
      </c>
      <c r="G37" s="3">
        <v>-5.8971474074729351E-2</v>
      </c>
      <c r="H37" s="2">
        <v>44896</v>
      </c>
      <c r="I37" s="6">
        <v>43.075634002685497</v>
      </c>
      <c r="J37" s="6">
        <v>46.177683673018102</v>
      </c>
      <c r="K37" s="6">
        <v>41.343864637068897</v>
      </c>
      <c r="L37" s="6">
        <v>42.293816058581598</v>
      </c>
      <c r="M37" s="6">
        <v>423156900</v>
      </c>
      <c r="N37" s="3">
        <v>3.0903028267986139E-2</v>
      </c>
      <c r="O37" s="2">
        <v>44896</v>
      </c>
      <c r="P37">
        <v>4.25</v>
      </c>
      <c r="Q37">
        <v>4.68</v>
      </c>
      <c r="R37">
        <v>4.05</v>
      </c>
      <c r="S37">
        <v>3.76</v>
      </c>
      <c r="T37">
        <v>3.62</v>
      </c>
      <c r="U37">
        <v>3.87</v>
      </c>
      <c r="V37">
        <v>3.66</v>
      </c>
      <c r="W37">
        <v>8.6539445966089519E-4</v>
      </c>
      <c r="X37">
        <v>4.9891397824400989E-3</v>
      </c>
      <c r="Z37">
        <v>0.35416666666666669</v>
      </c>
      <c r="AA37">
        <v>0.38999999999999996</v>
      </c>
      <c r="AB37">
        <v>0.33749999999999997</v>
      </c>
      <c r="AC37" s="7">
        <v>-0.41313814074139604</v>
      </c>
      <c r="AD37" s="7">
        <v>-0.32326363839868055</v>
      </c>
    </row>
    <row r="38" spans="1:30" x14ac:dyDescent="0.3">
      <c r="A38" s="2">
        <v>44927</v>
      </c>
      <c r="B38" s="4">
        <v>4076.60009765625</v>
      </c>
      <c r="C38" s="4">
        <v>4094.2099609375</v>
      </c>
      <c r="D38" s="4">
        <v>3794.330078125</v>
      </c>
      <c r="E38" s="4">
        <v>3853.2900390625</v>
      </c>
      <c r="F38" s="1">
        <v>80763810000</v>
      </c>
      <c r="G38" s="3">
        <v>6.1752857834678994E-2</v>
      </c>
      <c r="H38" s="2">
        <v>44927</v>
      </c>
      <c r="I38" s="6">
        <v>37.123733520507798</v>
      </c>
      <c r="J38" s="6">
        <v>43.378274448162998</v>
      </c>
      <c r="K38" s="6">
        <v>35.896364472966297</v>
      </c>
      <c r="L38" s="6">
        <v>42.8822824074607</v>
      </c>
      <c r="M38" s="6">
        <v>522769000</v>
      </c>
      <c r="N38" s="3">
        <v>-0.1381732531622549</v>
      </c>
      <c r="O38" s="2">
        <v>44927</v>
      </c>
      <c r="P38">
        <v>4.54</v>
      </c>
      <c r="Q38">
        <v>4.6900000000000004</v>
      </c>
      <c r="R38">
        <v>3.91</v>
      </c>
      <c r="S38">
        <v>3.64</v>
      </c>
      <c r="T38">
        <v>3.53</v>
      </c>
      <c r="U38">
        <v>3.81</v>
      </c>
      <c r="V38">
        <v>3.66</v>
      </c>
      <c r="W38">
        <v>1.9504550764945821E-2</v>
      </c>
      <c r="X38">
        <v>2.5090570752892591E-3</v>
      </c>
      <c r="Z38">
        <v>0.37833333333333335</v>
      </c>
      <c r="AA38">
        <v>0.39083333333333337</v>
      </c>
      <c r="AB38">
        <v>0.32583333333333336</v>
      </c>
      <c r="AC38" s="7">
        <v>-0.31658047549865437</v>
      </c>
      <c r="AD38" s="7">
        <v>-0.51650658649558823</v>
      </c>
    </row>
    <row r="39" spans="1:30" x14ac:dyDescent="0.3">
      <c r="A39" s="2">
        <v>44958</v>
      </c>
      <c r="B39" s="4">
        <v>3970.14990234375</v>
      </c>
      <c r="C39" s="4">
        <v>4195.43994140625</v>
      </c>
      <c r="D39" s="4">
        <v>3943.080078125</v>
      </c>
      <c r="E39" s="5" t="s">
        <v>46</v>
      </c>
      <c r="F39" s="1">
        <v>80392280000</v>
      </c>
      <c r="G39" s="3">
        <v>-2.6112493931818616E-2</v>
      </c>
      <c r="H39" s="2">
        <v>44958</v>
      </c>
      <c r="I39" s="6">
        <v>34.418857574462798</v>
      </c>
      <c r="J39" s="6">
        <v>37.719063045604102</v>
      </c>
      <c r="K39" s="6">
        <v>34.011634601716601</v>
      </c>
      <c r="L39" s="6">
        <v>37.252453591602404</v>
      </c>
      <c r="M39" s="6">
        <v>403988700</v>
      </c>
      <c r="N39" s="3">
        <v>-7.2861096919327351E-2</v>
      </c>
      <c r="O39" s="2">
        <v>44958</v>
      </c>
      <c r="P39">
        <v>4.6500000000000004</v>
      </c>
      <c r="Q39">
        <v>4.93</v>
      </c>
      <c r="R39">
        <v>4.2300000000000004</v>
      </c>
      <c r="S39">
        <v>3.94</v>
      </c>
      <c r="T39">
        <v>3.75</v>
      </c>
      <c r="U39">
        <v>3.95</v>
      </c>
      <c r="V39">
        <v>3.8</v>
      </c>
      <c r="W39">
        <v>5.527407652593571E-3</v>
      </c>
      <c r="X39">
        <v>1.4269402668087212E-3</v>
      </c>
      <c r="Z39">
        <v>0.38750000000000001</v>
      </c>
      <c r="AA39">
        <v>0.41083333333333333</v>
      </c>
      <c r="AB39">
        <v>0.35250000000000004</v>
      </c>
      <c r="AC39" s="7">
        <v>-0.41361249393181865</v>
      </c>
      <c r="AD39" s="7">
        <v>-0.46036109691932736</v>
      </c>
    </row>
    <row r="40" spans="1:30" x14ac:dyDescent="0.3">
      <c r="A40" s="2">
        <v>44986</v>
      </c>
      <c r="B40" s="4">
        <v>4109.31005859375</v>
      </c>
      <c r="C40" s="4">
        <v>4110.75</v>
      </c>
      <c r="D40" s="5" t="s">
        <v>47</v>
      </c>
      <c r="E40" s="5" t="s">
        <v>48</v>
      </c>
      <c r="F40" s="1">
        <v>113094800000</v>
      </c>
      <c r="G40" s="3">
        <v>3.5051612577108933E-2</v>
      </c>
      <c r="H40" s="2">
        <v>44986</v>
      </c>
      <c r="I40" s="6">
        <v>34.613979339599602</v>
      </c>
      <c r="J40" s="6">
        <v>35.0042342195974</v>
      </c>
      <c r="K40" s="6">
        <v>33.282020074500899</v>
      </c>
      <c r="L40" s="6">
        <v>34.410369504957202</v>
      </c>
      <c r="M40" s="6">
        <v>504067700</v>
      </c>
      <c r="N40" s="3">
        <v>5.6690366527904559E-3</v>
      </c>
      <c r="O40" s="2">
        <v>44986</v>
      </c>
      <c r="P40">
        <v>4.6900000000000004</v>
      </c>
      <c r="Q40">
        <v>4.68</v>
      </c>
      <c r="R40">
        <v>4.09</v>
      </c>
      <c r="S40">
        <v>3.82</v>
      </c>
      <c r="T40">
        <v>3.66</v>
      </c>
      <c r="U40">
        <v>3.94</v>
      </c>
      <c r="V40">
        <v>3.77</v>
      </c>
      <c r="W40">
        <v>1.7502475286880039E-5</v>
      </c>
      <c r="X40">
        <v>5.4705671678665301E-4</v>
      </c>
      <c r="Z40">
        <v>0.39083333333333337</v>
      </c>
      <c r="AA40">
        <v>0.38999999999999996</v>
      </c>
      <c r="AB40">
        <v>0.34083333333333332</v>
      </c>
      <c r="AC40" s="7">
        <v>-0.35578172075622444</v>
      </c>
      <c r="AD40" s="7">
        <v>-0.38516429668054292</v>
      </c>
    </row>
    <row r="41" spans="1:30" x14ac:dyDescent="0.3">
      <c r="A41" s="2">
        <v>45017</v>
      </c>
      <c r="B41" s="4">
        <v>4169.47998046875</v>
      </c>
      <c r="C41" s="4">
        <v>4170.06005859375</v>
      </c>
      <c r="D41" s="4">
        <v>4049.35009765625</v>
      </c>
      <c r="E41" s="4">
        <v>4102.2001953125</v>
      </c>
      <c r="F41" s="1">
        <v>70861260000</v>
      </c>
      <c r="G41" s="3">
        <v>1.464234166248112E-2</v>
      </c>
      <c r="H41" s="2">
        <v>45017</v>
      </c>
      <c r="I41" s="6">
        <v>32.993576049804602</v>
      </c>
      <c r="J41" s="6">
        <v>35.818689713553802</v>
      </c>
      <c r="K41" s="6">
        <v>32.501516163927697</v>
      </c>
      <c r="L41" s="6">
        <v>34.520663029738003</v>
      </c>
      <c r="M41" s="6">
        <v>387645900</v>
      </c>
      <c r="N41" s="3">
        <v>-4.6813551077070241E-2</v>
      </c>
      <c r="O41" s="2">
        <v>45017</v>
      </c>
      <c r="P41">
        <v>4.92</v>
      </c>
      <c r="Q41">
        <v>4.68</v>
      </c>
      <c r="R41">
        <v>3.76</v>
      </c>
      <c r="S41">
        <v>3.54</v>
      </c>
      <c r="T41">
        <v>3.46</v>
      </c>
      <c r="U41">
        <v>3.8</v>
      </c>
      <c r="V41">
        <v>3.68</v>
      </c>
      <c r="W41">
        <v>2.3327926044801801E-3</v>
      </c>
      <c r="X41">
        <v>8.8802372828387206E-6</v>
      </c>
      <c r="Z41">
        <v>0.41</v>
      </c>
      <c r="AA41">
        <v>0.38999999999999996</v>
      </c>
      <c r="AB41">
        <v>0.3133333333333333</v>
      </c>
      <c r="AC41" s="7">
        <v>-0.39535765833751885</v>
      </c>
      <c r="AD41" s="7">
        <v>-0.45681355107707022</v>
      </c>
    </row>
    <row r="42" spans="1:30" x14ac:dyDescent="0.3">
      <c r="A42" s="2">
        <v>45047</v>
      </c>
      <c r="B42" s="4">
        <v>4179.830078125</v>
      </c>
      <c r="C42" s="4">
        <v>4231.10009765625</v>
      </c>
      <c r="D42" s="5" t="s">
        <v>49</v>
      </c>
      <c r="E42" s="4">
        <v>4166.7900390625</v>
      </c>
      <c r="F42" s="1">
        <v>85190040000</v>
      </c>
      <c r="G42" s="3">
        <v>2.4823473681929993E-3</v>
      </c>
      <c r="H42" s="2">
        <v>45047</v>
      </c>
      <c r="I42" s="6">
        <v>32.255485534667898</v>
      </c>
      <c r="J42" s="6">
        <v>34.054054552490101</v>
      </c>
      <c r="K42" s="6">
        <v>30.685976819580599</v>
      </c>
      <c r="L42" s="6">
        <v>33.0868995451359</v>
      </c>
      <c r="M42" s="6">
        <v>678041800</v>
      </c>
      <c r="N42" s="3">
        <v>-2.2370734049032424E-2</v>
      </c>
      <c r="O42" s="2">
        <v>45047</v>
      </c>
      <c r="P42">
        <v>5.14</v>
      </c>
      <c r="Q42">
        <v>4.91</v>
      </c>
      <c r="R42">
        <v>3.82</v>
      </c>
      <c r="S42">
        <v>3.59</v>
      </c>
      <c r="T42">
        <v>3.57</v>
      </c>
      <c r="U42">
        <v>3.96</v>
      </c>
      <c r="V42">
        <v>3.86</v>
      </c>
      <c r="W42">
        <v>5.6911707256908166E-4</v>
      </c>
      <c r="X42">
        <v>8.4272796502114111E-5</v>
      </c>
      <c r="Z42">
        <v>0.42833333333333329</v>
      </c>
      <c r="AA42">
        <v>0.40916666666666668</v>
      </c>
      <c r="AB42">
        <v>0.3183333333333333</v>
      </c>
      <c r="AC42" s="7">
        <v>-0.42585098596514032</v>
      </c>
      <c r="AD42" s="7">
        <v>-0.45070406738236574</v>
      </c>
    </row>
    <row r="43" spans="1:30" x14ac:dyDescent="0.3">
      <c r="A43" s="2">
        <v>45078</v>
      </c>
      <c r="B43" s="4">
        <v>4450.3798828125</v>
      </c>
      <c r="C43" s="4">
        <v>4458.47998046875</v>
      </c>
      <c r="D43" s="4">
        <v>4171.64013671875</v>
      </c>
      <c r="E43" s="4">
        <v>4183.02978515625</v>
      </c>
      <c r="F43" s="1">
        <v>87983140000</v>
      </c>
      <c r="G43" s="3">
        <v>6.4727464904234575E-2</v>
      </c>
      <c r="H43" s="2">
        <v>45078</v>
      </c>
      <c r="I43" s="6">
        <v>31.4553833007812</v>
      </c>
      <c r="J43" s="6">
        <v>34.619786796331603</v>
      </c>
      <c r="K43" s="6">
        <v>30.666424336981201</v>
      </c>
      <c r="L43" s="6">
        <v>32.6902717516774</v>
      </c>
      <c r="M43" s="6">
        <v>562641300</v>
      </c>
      <c r="N43" s="3">
        <v>-2.4805152383359876E-2</v>
      </c>
      <c r="O43" s="2">
        <v>45078</v>
      </c>
      <c r="P43">
        <v>5.16</v>
      </c>
      <c r="Q43">
        <v>5.24</v>
      </c>
      <c r="R43">
        <v>4.2699999999999996</v>
      </c>
      <c r="S43">
        <v>3.95</v>
      </c>
      <c r="T43">
        <v>3.75</v>
      </c>
      <c r="U43">
        <v>4.04</v>
      </c>
      <c r="V43">
        <v>3.87</v>
      </c>
      <c r="W43">
        <v>6.9119528347656636E-4</v>
      </c>
      <c r="X43">
        <v>2.8159044071310903E-3</v>
      </c>
      <c r="Z43">
        <v>0.43</v>
      </c>
      <c r="AA43">
        <v>0.4366666666666667</v>
      </c>
      <c r="AB43">
        <v>0.35583333333333328</v>
      </c>
      <c r="AC43" s="7">
        <v>-0.3652725350957654</v>
      </c>
      <c r="AD43" s="7">
        <v>-0.45480515238335989</v>
      </c>
    </row>
    <row r="44" spans="1:30" x14ac:dyDescent="0.3">
      <c r="A44" s="2">
        <v>45108</v>
      </c>
      <c r="B44" s="4">
        <v>4588.9599609375</v>
      </c>
      <c r="C44" s="4">
        <v>4607.06982421875</v>
      </c>
      <c r="D44" s="4">
        <v>4385.0498046875</v>
      </c>
      <c r="E44" s="4">
        <v>4450.47998046875</v>
      </c>
      <c r="F44" s="1">
        <v>75063200000</v>
      </c>
      <c r="G44" s="3">
        <v>3.1138932355010952E-2</v>
      </c>
      <c r="H44" s="2">
        <v>45108</v>
      </c>
      <c r="I44" s="6">
        <v>30.923690795898398</v>
      </c>
      <c r="J44" s="6">
        <v>32.415847032048397</v>
      </c>
      <c r="K44" s="6">
        <v>30.314819212926601</v>
      </c>
      <c r="L44" s="6">
        <v>31.301016945781601</v>
      </c>
      <c r="M44" s="6">
        <v>441642200</v>
      </c>
      <c r="N44" s="3">
        <v>-1.6903068698883004E-2</v>
      </c>
      <c r="O44" s="2">
        <v>45108</v>
      </c>
      <c r="P44">
        <v>5.25</v>
      </c>
      <c r="Q44">
        <v>5.37</v>
      </c>
      <c r="R44">
        <v>4.47</v>
      </c>
      <c r="S44">
        <v>4.1399999999999997</v>
      </c>
      <c r="T44">
        <v>3.9</v>
      </c>
      <c r="U44">
        <v>4.1500000000000004</v>
      </c>
      <c r="V44">
        <v>3.96</v>
      </c>
      <c r="W44">
        <v>3.3813727707471725E-4</v>
      </c>
      <c r="X44">
        <v>3.7933652151848554E-4</v>
      </c>
      <c r="Z44">
        <v>0.4375</v>
      </c>
      <c r="AA44">
        <v>0.44750000000000001</v>
      </c>
      <c r="AB44">
        <v>0.3725</v>
      </c>
      <c r="AC44" s="7">
        <v>-0.40636106764498903</v>
      </c>
      <c r="AD44" s="7">
        <v>-0.45440306869888303</v>
      </c>
    </row>
    <row r="45" spans="1:30" x14ac:dyDescent="0.3">
      <c r="A45" s="2">
        <v>45139</v>
      </c>
      <c r="B45" s="4">
        <v>4507.66015625</v>
      </c>
      <c r="C45" s="4">
        <v>4584.6201171875</v>
      </c>
      <c r="D45" s="4">
        <v>4335.31005859375</v>
      </c>
      <c r="E45" s="4">
        <v>4578.830078125</v>
      </c>
      <c r="F45" s="1">
        <v>86840820000</v>
      </c>
      <c r="G45" s="3">
        <v>-1.7716390070854068E-2</v>
      </c>
      <c r="H45" s="2">
        <v>45139</v>
      </c>
      <c r="I45" s="6">
        <v>30.678585052490199</v>
      </c>
      <c r="J45" s="6">
        <v>32.248063921052498</v>
      </c>
      <c r="K45" s="6">
        <v>30.054260066046201</v>
      </c>
      <c r="L45" s="6">
        <v>31.112143335790201</v>
      </c>
      <c r="M45" s="6">
        <v>537104500</v>
      </c>
      <c r="N45" s="3">
        <v>-7.9261477883069975E-3</v>
      </c>
      <c r="O45" s="2">
        <v>45139</v>
      </c>
      <c r="P45">
        <v>5.3</v>
      </c>
      <c r="Q45">
        <v>5.37</v>
      </c>
      <c r="R45">
        <v>4.59</v>
      </c>
      <c r="S45">
        <v>4.3099999999999996</v>
      </c>
      <c r="T45">
        <v>4.17</v>
      </c>
      <c r="U45">
        <v>4.46</v>
      </c>
      <c r="V45">
        <v>4.28</v>
      </c>
      <c r="W45">
        <v>8.857799744428174E-5</v>
      </c>
      <c r="X45">
        <v>8.6311148243644004E-4</v>
      </c>
      <c r="Z45">
        <v>0.44166666666666665</v>
      </c>
      <c r="AA45">
        <v>0.44750000000000001</v>
      </c>
      <c r="AB45">
        <v>0.38250000000000001</v>
      </c>
      <c r="AC45" s="7">
        <v>-0.45938305673752072</v>
      </c>
      <c r="AD45" s="7">
        <v>-0.44959281445497368</v>
      </c>
    </row>
    <row r="46" spans="1:30" x14ac:dyDescent="0.3">
      <c r="A46" s="2">
        <v>45170</v>
      </c>
      <c r="B46" s="4">
        <v>4288.0498046875</v>
      </c>
      <c r="C46" s="4">
        <v>4541.25</v>
      </c>
      <c r="D46" s="4">
        <v>4238.6298828125</v>
      </c>
      <c r="E46" s="4">
        <v>4530.60009765625</v>
      </c>
      <c r="F46" s="1">
        <v>73482980000</v>
      </c>
      <c r="G46" s="3">
        <v>-4.871936746562492E-2</v>
      </c>
      <c r="H46" s="2">
        <v>45170</v>
      </c>
      <c r="I46" s="6">
        <v>28.762252807617099</v>
      </c>
      <c r="J46" s="6">
        <v>31.4676586777226</v>
      </c>
      <c r="K46" s="6">
        <v>27.5482916884757</v>
      </c>
      <c r="L46" s="6">
        <v>30.904031627837199</v>
      </c>
      <c r="M46" s="6">
        <v>554689100</v>
      </c>
      <c r="N46" s="3">
        <v>-6.246481842608808E-2</v>
      </c>
      <c r="O46" s="2">
        <v>45170</v>
      </c>
      <c r="P46">
        <v>5.32</v>
      </c>
      <c r="Q46">
        <v>5.44</v>
      </c>
      <c r="R46">
        <v>4.74</v>
      </c>
      <c r="S46">
        <v>4.49</v>
      </c>
      <c r="T46">
        <v>4.38</v>
      </c>
      <c r="U46">
        <v>4.6500000000000004</v>
      </c>
      <c r="V46">
        <v>4.47</v>
      </c>
      <c r="W46">
        <v>4.0896356393791567E-3</v>
      </c>
      <c r="X46">
        <v>3.6459540942740004E-3</v>
      </c>
      <c r="Z46">
        <v>0.44333333333333336</v>
      </c>
      <c r="AA46">
        <v>0.45333333333333337</v>
      </c>
      <c r="AB46">
        <v>0.39500000000000002</v>
      </c>
      <c r="AC46" s="7">
        <v>-0.4920527007989583</v>
      </c>
      <c r="AD46" s="7">
        <v>-0.50579815175942144</v>
      </c>
    </row>
    <row r="47" spans="1:30" x14ac:dyDescent="0.3">
      <c r="A47" s="2">
        <v>45200</v>
      </c>
      <c r="B47" s="4">
        <v>4193.7998046875</v>
      </c>
      <c r="C47" s="4">
        <v>4393.56982421875</v>
      </c>
      <c r="D47" s="4">
        <v>4103.77978515625</v>
      </c>
      <c r="E47" s="4">
        <v>4284.52001953125</v>
      </c>
      <c r="F47" s="1">
        <v>83519460000</v>
      </c>
      <c r="G47" s="3">
        <v>-2.1979688737982988E-2</v>
      </c>
      <c r="H47" s="2">
        <v>45200</v>
      </c>
      <c r="I47" s="6">
        <v>26.499076843261701</v>
      </c>
      <c r="J47" s="6">
        <v>29.577341069810601</v>
      </c>
      <c r="K47" s="6">
        <v>25.753357860466</v>
      </c>
      <c r="L47" s="6">
        <v>28.571486173477901</v>
      </c>
      <c r="M47" s="6">
        <v>681416300</v>
      </c>
      <c r="N47" s="3">
        <v>-7.8685629373094215E-2</v>
      </c>
      <c r="O47" s="2">
        <v>45200</v>
      </c>
      <c r="P47">
        <v>5.34</v>
      </c>
      <c r="Q47">
        <v>5.42</v>
      </c>
      <c r="R47">
        <v>4.8899999999999997</v>
      </c>
      <c r="S47">
        <v>4.7699999999999996</v>
      </c>
      <c r="T47">
        <v>4.8</v>
      </c>
      <c r="U47">
        <v>5.13</v>
      </c>
      <c r="V47">
        <v>4.95</v>
      </c>
      <c r="W47">
        <v>6.4274004730110329E-3</v>
      </c>
      <c r="X47">
        <v>1.1317880464331953E-3</v>
      </c>
      <c r="Z47">
        <v>0.44500000000000001</v>
      </c>
      <c r="AA47">
        <v>0.45166666666666666</v>
      </c>
      <c r="AB47">
        <v>0.40749999999999997</v>
      </c>
      <c r="AC47" s="7">
        <v>-0.46697968873798301</v>
      </c>
      <c r="AD47" s="7">
        <v>-0.52368562937309426</v>
      </c>
    </row>
    <row r="48" spans="1:30" x14ac:dyDescent="0.3">
      <c r="A48" s="2">
        <v>45231</v>
      </c>
      <c r="B48" s="4">
        <v>4567.7998046875</v>
      </c>
      <c r="C48" s="4">
        <v>4587.64013671875</v>
      </c>
      <c r="D48" s="4">
        <v>4197.740234375</v>
      </c>
      <c r="E48" s="4">
        <v>4201.27001953125</v>
      </c>
      <c r="F48" s="1">
        <v>80970570000</v>
      </c>
      <c r="G48" s="3">
        <v>8.9179268781970036E-2</v>
      </c>
      <c r="H48" s="2">
        <v>45231</v>
      </c>
      <c r="I48" s="6">
        <v>26.421037673950099</v>
      </c>
      <c r="J48" s="6">
        <v>27.236127601208</v>
      </c>
      <c r="K48" s="6">
        <v>25.085679199061602</v>
      </c>
      <c r="L48" s="6">
        <v>26.499078286873399</v>
      </c>
      <c r="M48" s="6">
        <v>607150200</v>
      </c>
      <c r="N48" s="3">
        <v>-2.9449769051651223E-3</v>
      </c>
      <c r="O48" s="2">
        <v>45231</v>
      </c>
      <c r="P48">
        <v>5.27</v>
      </c>
      <c r="Q48">
        <v>5.28</v>
      </c>
      <c r="R48">
        <v>4.6399999999999997</v>
      </c>
      <c r="S48">
        <v>4.49</v>
      </c>
      <c r="T48">
        <v>4.5</v>
      </c>
      <c r="U48">
        <v>4.84</v>
      </c>
      <c r="V48">
        <v>4.66</v>
      </c>
      <c r="W48">
        <v>1.962859995423234E-5</v>
      </c>
      <c r="X48">
        <v>6.0088697573669842E-3</v>
      </c>
      <c r="Z48">
        <v>0.43916666666666665</v>
      </c>
      <c r="AA48">
        <v>0.44</v>
      </c>
      <c r="AB48">
        <v>0.38666666666666666</v>
      </c>
      <c r="AC48" s="7">
        <v>-0.34998739788469663</v>
      </c>
      <c r="AD48" s="7">
        <v>-0.44211164357183175</v>
      </c>
    </row>
    <row r="49" spans="1:30" x14ac:dyDescent="0.3">
      <c r="A49" s="2">
        <v>45261</v>
      </c>
      <c r="B49" s="4">
        <v>4769.830078125</v>
      </c>
      <c r="C49" s="4">
        <v>4793.2998046875</v>
      </c>
      <c r="D49" s="4">
        <v>4546.5</v>
      </c>
      <c r="E49" s="4">
        <v>4559.43017578125</v>
      </c>
      <c r="F49" s="1">
        <v>81530670000</v>
      </c>
      <c r="G49" s="3">
        <v>4.4229231156360113E-2</v>
      </c>
      <c r="H49" s="2">
        <v>45261</v>
      </c>
      <c r="I49" s="6">
        <v>25.300865173339801</v>
      </c>
      <c r="J49" s="6">
        <v>26.0478501023915</v>
      </c>
      <c r="K49" s="6">
        <v>22.6380782191859</v>
      </c>
      <c r="L49" s="6">
        <v>25.459049093104301</v>
      </c>
      <c r="M49" s="6">
        <v>1178554900</v>
      </c>
      <c r="N49" s="3">
        <v>-4.2396991156586392E-2</v>
      </c>
      <c r="O49" s="2">
        <v>45261</v>
      </c>
      <c r="P49">
        <v>5.24</v>
      </c>
      <c r="Q49">
        <v>4.96</v>
      </c>
      <c r="R49">
        <v>4.1900000000000004</v>
      </c>
      <c r="S49">
        <v>4</v>
      </c>
      <c r="T49">
        <v>4.0199999999999996</v>
      </c>
      <c r="U49">
        <v>4.32</v>
      </c>
      <c r="V49">
        <v>4.1399999999999997</v>
      </c>
      <c r="W49">
        <v>1.9256678236479229E-3</v>
      </c>
      <c r="X49">
        <v>1.0606005130468401E-3</v>
      </c>
      <c r="Z49">
        <v>0.4366666666666667</v>
      </c>
      <c r="AA49">
        <v>0.41333333333333333</v>
      </c>
      <c r="AB49">
        <v>0.34916666666666668</v>
      </c>
      <c r="AC49" s="7">
        <v>-0.39243743551030658</v>
      </c>
      <c r="AD49" s="7">
        <v>-0.47906365782325311</v>
      </c>
    </row>
    <row r="50" spans="1:30" x14ac:dyDescent="0.3">
      <c r="A50" s="2">
        <v>45292</v>
      </c>
      <c r="B50" s="4">
        <v>4845.64990234375</v>
      </c>
      <c r="C50" s="4">
        <v>4931.08984375</v>
      </c>
      <c r="D50" s="4">
        <v>4682.10986328125</v>
      </c>
      <c r="E50" s="4">
        <v>4745.2001953125</v>
      </c>
      <c r="F50" s="1">
        <v>81737880000</v>
      </c>
      <c r="G50" s="3">
        <v>1.5895707598991546E-2</v>
      </c>
      <c r="H50" s="2">
        <v>45292</v>
      </c>
      <c r="I50" s="6">
        <v>23.798099517822202</v>
      </c>
      <c r="J50" s="6">
        <v>26.610283300248099</v>
      </c>
      <c r="K50" s="6">
        <v>23.5344580215537</v>
      </c>
      <c r="L50" s="6">
        <v>25.379951847816901</v>
      </c>
      <c r="M50" s="6">
        <v>972933500</v>
      </c>
      <c r="N50" s="3">
        <v>-5.9395820863118301E-2</v>
      </c>
      <c r="O50" s="2">
        <v>45292</v>
      </c>
      <c r="P50">
        <v>5.22</v>
      </c>
      <c r="Q50">
        <v>4.79</v>
      </c>
      <c r="R50">
        <v>4.1100000000000003</v>
      </c>
      <c r="S50">
        <v>3.98</v>
      </c>
      <c r="T50">
        <v>4.0599999999999996</v>
      </c>
      <c r="U50">
        <v>4.3899999999999997</v>
      </c>
      <c r="V50">
        <v>4.26</v>
      </c>
      <c r="W50">
        <v>3.7065280067420463E-3</v>
      </c>
      <c r="X50">
        <v>1.7921155997298714E-5</v>
      </c>
      <c r="Z50">
        <v>0.435</v>
      </c>
      <c r="AA50">
        <v>0.39916666666666667</v>
      </c>
      <c r="AB50">
        <v>0.34250000000000003</v>
      </c>
      <c r="AC50" s="7">
        <v>-0.41910429240100844</v>
      </c>
      <c r="AD50" s="7">
        <v>-0.49439582086311828</v>
      </c>
    </row>
    <row r="51" spans="1:30" x14ac:dyDescent="0.3">
      <c r="A51" s="2">
        <v>45323</v>
      </c>
      <c r="B51" s="4">
        <v>5096.27001953125</v>
      </c>
      <c r="C51" s="4">
        <v>5111.06005859375</v>
      </c>
      <c r="D51" s="4">
        <v>4853.52001953125</v>
      </c>
      <c r="E51" s="4">
        <v>4861.10986328125</v>
      </c>
      <c r="F51" s="1">
        <v>82066930000</v>
      </c>
      <c r="G51" s="3">
        <v>5.1720640623723092E-2</v>
      </c>
      <c r="H51" s="2">
        <v>45323</v>
      </c>
      <c r="I51" s="6">
        <v>23.692367553710898</v>
      </c>
      <c r="J51" s="6">
        <v>25.101777933228401</v>
      </c>
      <c r="K51" s="6">
        <v>23.656687161293402</v>
      </c>
      <c r="L51" s="6">
        <v>24.174065611966501</v>
      </c>
      <c r="M51" s="6">
        <v>762373700</v>
      </c>
      <c r="N51" s="3">
        <v>-4.4428742737259944E-3</v>
      </c>
      <c r="O51" s="2">
        <v>45323</v>
      </c>
      <c r="P51">
        <v>5.24</v>
      </c>
      <c r="Q51">
        <v>4.92</v>
      </c>
      <c r="R51">
        <v>4.33</v>
      </c>
      <c r="S51">
        <v>4.1900000000000004</v>
      </c>
      <c r="T51">
        <v>4.21</v>
      </c>
      <c r="U51">
        <v>4.49</v>
      </c>
      <c r="V51">
        <v>4.38</v>
      </c>
      <c r="W51">
        <v>3.514491815750959E-5</v>
      </c>
      <c r="X51">
        <v>1.6046651283526925E-3</v>
      </c>
      <c r="Z51">
        <v>0.4366666666666667</v>
      </c>
      <c r="AA51">
        <v>0.41</v>
      </c>
      <c r="AB51">
        <v>0.36083333333333334</v>
      </c>
      <c r="AC51" s="7">
        <v>-0.38494602604294359</v>
      </c>
      <c r="AD51" s="7">
        <v>-0.44110954094039267</v>
      </c>
    </row>
    <row r="52" spans="1:30" x14ac:dyDescent="0.3">
      <c r="A52" s="2">
        <v>45352</v>
      </c>
      <c r="B52" s="4">
        <v>5254.35009765625</v>
      </c>
      <c r="C52" s="4">
        <v>5264.85009765625</v>
      </c>
      <c r="D52" s="4">
        <v>5056.81982421875</v>
      </c>
      <c r="E52" s="4">
        <v>5098.509765625</v>
      </c>
      <c r="F52" s="1">
        <v>86299510000</v>
      </c>
      <c r="G52" s="3">
        <v>3.1018779915342878E-2</v>
      </c>
      <c r="H52" s="2">
        <v>45352</v>
      </c>
      <c r="I52" s="6">
        <v>24.753887176513601</v>
      </c>
      <c r="J52" s="6">
        <v>25.592397705015401</v>
      </c>
      <c r="K52" s="6">
        <v>22.844939304471598</v>
      </c>
      <c r="L52" s="6">
        <v>23.933217695758199</v>
      </c>
      <c r="M52" s="6">
        <v>939083100</v>
      </c>
      <c r="N52" s="3">
        <v>4.4804286460448664E-2</v>
      </c>
      <c r="O52" s="2">
        <v>45352</v>
      </c>
      <c r="P52">
        <v>5.24</v>
      </c>
      <c r="Q52">
        <v>4.99</v>
      </c>
      <c r="R52">
        <v>4.38</v>
      </c>
      <c r="S52">
        <v>4.2</v>
      </c>
      <c r="T52">
        <v>4.21</v>
      </c>
      <c r="U52">
        <v>4.46</v>
      </c>
      <c r="V52">
        <v>4.3600000000000003</v>
      </c>
      <c r="W52">
        <v>1.8765223999918799E-3</v>
      </c>
      <c r="X52">
        <v>3.7467064491171855E-4</v>
      </c>
      <c r="Z52">
        <v>0.4366666666666667</v>
      </c>
      <c r="AA52">
        <v>0.41583333333333333</v>
      </c>
      <c r="AB52">
        <v>0.36499999999999999</v>
      </c>
      <c r="AC52" s="7">
        <v>-0.40564788675132385</v>
      </c>
      <c r="AD52" s="7">
        <v>-0.39186238020621805</v>
      </c>
    </row>
    <row r="53" spans="1:30" x14ac:dyDescent="0.3">
      <c r="A53" s="2">
        <v>45383</v>
      </c>
      <c r="B53" s="4">
        <v>5035.68994140625</v>
      </c>
      <c r="C53" s="4">
        <v>5263.9501953125</v>
      </c>
      <c r="D53" s="4">
        <v>4953.56005859375</v>
      </c>
      <c r="E53" s="4">
        <v>5257.97021484375</v>
      </c>
      <c r="F53" s="1">
        <v>81747170000</v>
      </c>
      <c r="G53" s="3">
        <v>-4.1615071737898725E-2</v>
      </c>
      <c r="H53" s="2">
        <v>45383</v>
      </c>
      <c r="I53" s="6">
        <v>22.853855133056602</v>
      </c>
      <c r="J53" s="6">
        <v>24.860926653937799</v>
      </c>
      <c r="K53" s="6">
        <v>22.479201714435501</v>
      </c>
      <c r="L53" s="6">
        <v>24.762802612908398</v>
      </c>
      <c r="M53" s="6">
        <v>806890100</v>
      </c>
      <c r="N53" s="3">
        <v>-7.6756916192934052E-2</v>
      </c>
      <c r="O53" s="2">
        <v>45383</v>
      </c>
      <c r="P53">
        <v>5.24</v>
      </c>
      <c r="Q53">
        <v>5.14</v>
      </c>
      <c r="R53">
        <v>4.71</v>
      </c>
      <c r="S53">
        <v>4.5599999999999996</v>
      </c>
      <c r="T53">
        <v>4.54</v>
      </c>
      <c r="U53">
        <v>4.7699999999999996</v>
      </c>
      <c r="V53">
        <v>4.66</v>
      </c>
      <c r="W53">
        <v>6.1218664085952194E-3</v>
      </c>
      <c r="X53">
        <v>2.8384856877596057E-3</v>
      </c>
      <c r="Z53">
        <v>0.4366666666666667</v>
      </c>
      <c r="AA53">
        <v>0.42833333333333329</v>
      </c>
      <c r="AB53">
        <v>0.39250000000000002</v>
      </c>
      <c r="AC53" s="7">
        <v>-0.47828173840456545</v>
      </c>
      <c r="AD53" s="7">
        <v>-0.51342358285960077</v>
      </c>
    </row>
    <row r="54" spans="1:30" x14ac:dyDescent="0.3">
      <c r="A54" s="2">
        <v>45413</v>
      </c>
      <c r="B54" s="4">
        <v>5277.509765625</v>
      </c>
      <c r="C54" s="4">
        <v>5341.8798828125</v>
      </c>
      <c r="D54" s="4">
        <v>5011.0498046875</v>
      </c>
      <c r="E54" s="4">
        <v>5029.02978515625</v>
      </c>
      <c r="F54" s="1">
        <v>86849720000</v>
      </c>
      <c r="G54" s="3">
        <v>4.8021190151199065E-2</v>
      </c>
      <c r="H54" s="2">
        <v>45413</v>
      </c>
      <c r="I54" s="6">
        <v>25.565635681152301</v>
      </c>
      <c r="J54" s="6">
        <v>26.430906064551401</v>
      </c>
      <c r="K54" s="6">
        <v>23.210671865605999</v>
      </c>
      <c r="L54" s="6">
        <v>23.487201295118599</v>
      </c>
      <c r="M54" s="6">
        <v>953935500</v>
      </c>
      <c r="N54" s="3">
        <v>0.11865746642339073</v>
      </c>
      <c r="O54" s="2">
        <v>45413</v>
      </c>
      <c r="P54">
        <v>5.25</v>
      </c>
      <c r="Q54">
        <v>5.16</v>
      </c>
      <c r="R54">
        <v>4.66</v>
      </c>
      <c r="S54">
        <v>4.5</v>
      </c>
      <c r="T54">
        <v>4.4800000000000004</v>
      </c>
      <c r="U54">
        <v>4.71</v>
      </c>
      <c r="V54">
        <v>4.62</v>
      </c>
      <c r="W54">
        <v>1.3729283617463279E-2</v>
      </c>
      <c r="X54">
        <v>1.3219638781122943E-3</v>
      </c>
      <c r="Z54">
        <v>0.4375</v>
      </c>
      <c r="AA54">
        <v>0.43</v>
      </c>
      <c r="AB54">
        <v>0.38833333333333336</v>
      </c>
      <c r="AC54" s="7">
        <v>-0.38947880984880096</v>
      </c>
      <c r="AD54" s="7">
        <v>-0.3188425335766093</v>
      </c>
    </row>
    <row r="55" spans="1:30" x14ac:dyDescent="0.3">
      <c r="A55" s="2">
        <v>45444</v>
      </c>
      <c r="B55" s="4">
        <v>5460.47998046875</v>
      </c>
      <c r="C55" s="4">
        <v>5523.64013671875</v>
      </c>
      <c r="D55" s="4">
        <v>5234.31982421875</v>
      </c>
      <c r="E55" s="4">
        <v>5297.14990234375</v>
      </c>
      <c r="F55" s="1">
        <v>76025620000</v>
      </c>
      <c r="G55" s="3">
        <v>3.4669801283083251E-2</v>
      </c>
      <c r="H55" s="2">
        <v>45444</v>
      </c>
      <c r="I55" s="6">
        <v>25.335454940795898</v>
      </c>
      <c r="J55" s="6">
        <v>26.9200527560841</v>
      </c>
      <c r="K55" s="6">
        <v>24.3303683580809</v>
      </c>
      <c r="L55" s="6">
        <v>25.951184653925498</v>
      </c>
      <c r="M55" s="6">
        <v>633849500</v>
      </c>
      <c r="N55" s="3">
        <v>-9.0035211025907853E-3</v>
      </c>
      <c r="O55" s="2">
        <v>45444</v>
      </c>
      <c r="P55">
        <v>5.24</v>
      </c>
      <c r="Q55">
        <v>5.1100000000000003</v>
      </c>
      <c r="R55">
        <v>4.5</v>
      </c>
      <c r="S55">
        <v>4.32</v>
      </c>
      <c r="T55">
        <v>4.3099999999999996</v>
      </c>
      <c r="U55">
        <v>4.54</v>
      </c>
      <c r="V55">
        <v>4.4400000000000004</v>
      </c>
      <c r="W55">
        <v>1.100183192181541E-4</v>
      </c>
      <c r="X55">
        <v>5.2934194191060194E-4</v>
      </c>
      <c r="Z55">
        <v>0.4366666666666667</v>
      </c>
      <c r="AA55">
        <v>0.42583333333333334</v>
      </c>
      <c r="AB55">
        <v>0.375</v>
      </c>
      <c r="AC55" s="7">
        <v>-0.40199686538358348</v>
      </c>
      <c r="AD55" s="7">
        <v>-0.44567018776925749</v>
      </c>
    </row>
    <row r="56" spans="1:30" x14ac:dyDescent="0.3">
      <c r="A56" s="2">
        <v>45474</v>
      </c>
      <c r="B56" s="4">
        <v>5522.2998046875</v>
      </c>
      <c r="C56" s="4">
        <v>5669.669921875</v>
      </c>
      <c r="D56" s="4">
        <v>5390.9501953125</v>
      </c>
      <c r="E56" s="4">
        <v>5471.080078125</v>
      </c>
      <c r="F56" s="1">
        <v>80160390000</v>
      </c>
      <c r="G56" s="3">
        <v>1.1321316887868735E-2</v>
      </c>
      <c r="H56" s="2">
        <v>45474</v>
      </c>
      <c r="I56" s="6">
        <v>27.653497695922798</v>
      </c>
      <c r="J56" s="6">
        <v>28.558982203680699</v>
      </c>
      <c r="K56" s="6">
        <v>24.7197263709614</v>
      </c>
      <c r="L56" s="6">
        <v>25.308292682663801</v>
      </c>
      <c r="M56" s="6">
        <v>781039500</v>
      </c>
      <c r="N56" s="3">
        <v>9.1494025291581363E-2</v>
      </c>
      <c r="O56" s="2">
        <v>45474</v>
      </c>
      <c r="P56">
        <v>5.2</v>
      </c>
      <c r="Q56">
        <v>4.9000000000000004</v>
      </c>
      <c r="R56">
        <v>4.29</v>
      </c>
      <c r="S56">
        <v>4.16</v>
      </c>
      <c r="T56">
        <v>4.25</v>
      </c>
      <c r="U56">
        <v>4.5599999999999996</v>
      </c>
      <c r="V56">
        <v>4.46</v>
      </c>
      <c r="W56">
        <v>8.1015453042821723E-3</v>
      </c>
      <c r="X56">
        <v>1.1631651873119962E-7</v>
      </c>
      <c r="Z56">
        <v>0.43333333333333335</v>
      </c>
      <c r="AA56">
        <v>0.40833333333333338</v>
      </c>
      <c r="AB56">
        <v>0.35749999999999998</v>
      </c>
      <c r="AC56" s="7">
        <v>-0.4220120164454646</v>
      </c>
      <c r="AD56" s="7">
        <v>-0.341839308041752</v>
      </c>
    </row>
    <row r="57" spans="1:30" x14ac:dyDescent="0.3">
      <c r="A57" s="2">
        <v>45505</v>
      </c>
      <c r="B57" s="4">
        <v>5648.39990234375</v>
      </c>
      <c r="C57" s="4">
        <v>5651.6201171875</v>
      </c>
      <c r="D57" s="4">
        <v>5119.259765625</v>
      </c>
      <c r="E57" s="4">
        <v>5537.83984375</v>
      </c>
      <c r="F57" s="1">
        <v>81097300000</v>
      </c>
      <c r="G57" s="3">
        <v>2.2834706936630336E-2</v>
      </c>
      <c r="H57" s="2">
        <v>45505</v>
      </c>
      <c r="I57" s="6">
        <v>26.6388225555419</v>
      </c>
      <c r="J57" s="6">
        <v>28.7600106076321</v>
      </c>
      <c r="K57" s="6">
        <v>25.573637107218399</v>
      </c>
      <c r="L57" s="6">
        <v>28.209052194356499</v>
      </c>
      <c r="M57" s="6">
        <v>613665800</v>
      </c>
      <c r="N57" s="3">
        <v>-3.6692470208949411E-2</v>
      </c>
      <c r="O57" s="2">
        <v>45505</v>
      </c>
      <c r="P57">
        <v>5.05</v>
      </c>
      <c r="Q57">
        <v>4.43</v>
      </c>
      <c r="R57">
        <v>3.79</v>
      </c>
      <c r="S57">
        <v>3.71</v>
      </c>
      <c r="T57">
        <v>3.87</v>
      </c>
      <c r="U57">
        <v>4.25</v>
      </c>
      <c r="V57">
        <v>4.1500000000000004</v>
      </c>
      <c r="W57">
        <v>1.4575528796316474E-3</v>
      </c>
      <c r="X57">
        <v>1.2482113577147547E-4</v>
      </c>
      <c r="Z57">
        <v>0.42083333333333334</v>
      </c>
      <c r="AA57">
        <v>0.36916666666666664</v>
      </c>
      <c r="AB57">
        <v>0.31583333333333335</v>
      </c>
      <c r="AC57" s="7">
        <v>-0.39799862639670303</v>
      </c>
      <c r="AD57" s="7">
        <v>-0.45752580354228273</v>
      </c>
    </row>
    <row r="58" spans="1:30" x14ac:dyDescent="0.3">
      <c r="A58" s="2">
        <v>45536</v>
      </c>
      <c r="B58" s="4">
        <v>5762.47998046875</v>
      </c>
      <c r="C58" s="4">
        <v>5767.3701171875</v>
      </c>
      <c r="D58" s="4">
        <v>5402.6201171875</v>
      </c>
      <c r="E58" s="4">
        <v>5623.89013671875</v>
      </c>
      <c r="F58" s="1">
        <v>79564830000</v>
      </c>
      <c r="G58" s="3">
        <v>2.0196884090601226E-2</v>
      </c>
      <c r="H58" s="2">
        <v>45536</v>
      </c>
      <c r="I58" s="6">
        <v>26.5745449066162</v>
      </c>
      <c r="J58" s="6">
        <v>27.8692962394394</v>
      </c>
      <c r="K58" s="6">
        <v>25.839933090958901</v>
      </c>
      <c r="L58" s="6">
        <v>26.308247663685201</v>
      </c>
      <c r="M58" s="6">
        <v>600228100</v>
      </c>
      <c r="N58" s="3">
        <v>-2.4129313069930457E-3</v>
      </c>
      <c r="O58" s="2">
        <v>45536</v>
      </c>
      <c r="P58">
        <v>4.72</v>
      </c>
      <c r="Q58">
        <v>4.03</v>
      </c>
      <c r="R58">
        <v>3.51</v>
      </c>
      <c r="S58">
        <v>3.5</v>
      </c>
      <c r="T58">
        <v>3.72</v>
      </c>
      <c r="U58">
        <v>4.0999999999999996</v>
      </c>
      <c r="V58">
        <v>4.04</v>
      </c>
      <c r="W58">
        <v>1.5197304127231256E-5</v>
      </c>
      <c r="X58">
        <v>7.2837948443738959E-5</v>
      </c>
      <c r="Z58">
        <v>0.39333333333333331</v>
      </c>
      <c r="AA58">
        <v>0.33583333333333337</v>
      </c>
      <c r="AB58">
        <v>0.29249999999999998</v>
      </c>
      <c r="AC58" s="7">
        <v>-0.37313644924273209</v>
      </c>
      <c r="AD58" s="7">
        <v>-0.39574626464032636</v>
      </c>
    </row>
    <row r="59" spans="1:30" x14ac:dyDescent="0.3">
      <c r="A59" s="2">
        <v>45566</v>
      </c>
      <c r="B59" s="4">
        <v>5705.4501953125</v>
      </c>
      <c r="C59" s="4">
        <v>5878.4599609375</v>
      </c>
      <c r="D59" s="4">
        <v>5674</v>
      </c>
      <c r="E59" s="4">
        <v>5757.72998046875</v>
      </c>
      <c r="F59" s="1">
        <v>82412430000</v>
      </c>
      <c r="G59" s="3">
        <v>-9.8967433031517272E-3</v>
      </c>
      <c r="H59" s="2">
        <v>45566</v>
      </c>
      <c r="I59" s="6">
        <v>25.986854553222599</v>
      </c>
      <c r="J59" s="6">
        <v>27.942756653842899</v>
      </c>
      <c r="K59" s="6">
        <v>25.7389247564603</v>
      </c>
      <c r="L59" s="6">
        <v>26.675552130620201</v>
      </c>
      <c r="M59" s="6">
        <v>785354000</v>
      </c>
      <c r="N59" s="3">
        <v>-2.2114785237480589E-2</v>
      </c>
      <c r="O59" s="2">
        <v>45566</v>
      </c>
      <c r="P59">
        <v>4.51</v>
      </c>
      <c r="Q59">
        <v>4.2</v>
      </c>
      <c r="R59">
        <v>3.9</v>
      </c>
      <c r="S59">
        <v>3.91</v>
      </c>
      <c r="T59">
        <v>4.0999999999999996</v>
      </c>
      <c r="U59">
        <v>4.4400000000000004</v>
      </c>
      <c r="V59">
        <v>4.38</v>
      </c>
      <c r="W59">
        <v>5.569706632245063E-4</v>
      </c>
      <c r="X59">
        <v>4.6479532175383142E-4</v>
      </c>
      <c r="Z59">
        <v>0.3758333333333333</v>
      </c>
      <c r="AA59">
        <v>0.35000000000000003</v>
      </c>
      <c r="AB59">
        <v>0.32500000000000001</v>
      </c>
      <c r="AC59" s="7">
        <v>-0.38573007663648501</v>
      </c>
      <c r="AD59" s="7">
        <v>-0.39794811857081391</v>
      </c>
    </row>
    <row r="60" spans="1:30" x14ac:dyDescent="0.3">
      <c r="A60" s="2">
        <v>45597</v>
      </c>
      <c r="B60" s="4">
        <v>6032.3798828125</v>
      </c>
      <c r="C60" s="4">
        <v>6044.169921875</v>
      </c>
      <c r="D60" s="4">
        <v>5696.509765625</v>
      </c>
      <c r="E60" s="4">
        <v>5723.22021484375</v>
      </c>
      <c r="F60" s="1">
        <v>84101980000</v>
      </c>
      <c r="G60" s="3">
        <v>5.7301295482098821E-2</v>
      </c>
      <c r="H60" s="2">
        <v>45597</v>
      </c>
      <c r="I60" s="6">
        <v>24.067684173583899</v>
      </c>
      <c r="J60" s="6">
        <v>26.207239692565899</v>
      </c>
      <c r="K60" s="6">
        <v>22.479088826106199</v>
      </c>
      <c r="L60" s="6">
        <v>26.1521426245464</v>
      </c>
      <c r="M60" s="6">
        <v>1024980800</v>
      </c>
      <c r="N60" s="3">
        <v>-7.3851584296519113E-2</v>
      </c>
      <c r="O60" s="2">
        <v>45597</v>
      </c>
      <c r="P60">
        <v>4.42</v>
      </c>
      <c r="Q60">
        <v>4.33</v>
      </c>
      <c r="R60">
        <v>4.21</v>
      </c>
      <c r="S60">
        <v>4.2300000000000004</v>
      </c>
      <c r="T60">
        <v>4.3600000000000003</v>
      </c>
      <c r="U60">
        <v>4.63</v>
      </c>
      <c r="V60">
        <v>4.54</v>
      </c>
      <c r="W60">
        <v>5.6756673318925166E-3</v>
      </c>
      <c r="X60">
        <v>2.0829116137113424E-3</v>
      </c>
      <c r="Z60">
        <v>0.36833333333333335</v>
      </c>
      <c r="AA60">
        <v>0.36083333333333334</v>
      </c>
      <c r="AB60">
        <v>0.35083333333333333</v>
      </c>
      <c r="AC60" s="7">
        <v>-0.31103203785123451</v>
      </c>
      <c r="AD60" s="7">
        <v>-0.44218491762985246</v>
      </c>
    </row>
    <row r="61" spans="1:30" x14ac:dyDescent="0.3">
      <c r="A61" s="2">
        <v>45627</v>
      </c>
      <c r="B61" s="4">
        <v>5881.6298828125</v>
      </c>
      <c r="C61" s="4">
        <v>6099.97021484375</v>
      </c>
      <c r="D61" s="4">
        <v>5832.2998046875</v>
      </c>
      <c r="E61" s="4">
        <v>6040.10986328125</v>
      </c>
      <c r="F61" s="1">
        <v>86064900000</v>
      </c>
      <c r="G61" s="3">
        <v>-2.4990137048483629E-2</v>
      </c>
      <c r="H61" s="2">
        <v>45627</v>
      </c>
      <c r="I61" s="6">
        <v>24.739927291870099</v>
      </c>
      <c r="J61" s="6">
        <v>25.038335470478099</v>
      </c>
      <c r="K61" s="6">
        <v>23.3691122757415</v>
      </c>
      <c r="L61" s="6">
        <v>24.310964201131199</v>
      </c>
      <c r="M61" s="6">
        <v>906524100</v>
      </c>
      <c r="N61" s="3">
        <v>2.79313586399824E-2</v>
      </c>
      <c r="O61" s="2">
        <v>45627</v>
      </c>
      <c r="P61">
        <v>4.2699999999999996</v>
      </c>
      <c r="Q61">
        <v>4.2300000000000004</v>
      </c>
      <c r="R61">
        <v>4.22</v>
      </c>
      <c r="S61">
        <v>4.25</v>
      </c>
      <c r="T61">
        <v>4.3899999999999997</v>
      </c>
      <c r="U61">
        <v>4.66</v>
      </c>
      <c r="V61">
        <v>4.58</v>
      </c>
      <c r="W61">
        <v>6.9938657689360599E-4</v>
      </c>
      <c r="X61">
        <v>1.3434061970056541E-3</v>
      </c>
      <c r="Z61">
        <v>0.35583333333333328</v>
      </c>
      <c r="AA61">
        <v>0.35250000000000004</v>
      </c>
      <c r="AB61">
        <v>0.35166666666666663</v>
      </c>
      <c r="AC61" s="7">
        <v>-0.38082347038181691</v>
      </c>
      <c r="AD61" s="7">
        <v>-0.32790197469335086</v>
      </c>
    </row>
    <row r="62" spans="1:30" x14ac:dyDescent="0.3">
      <c r="A62" s="2">
        <v>45658</v>
      </c>
      <c r="B62" s="4">
        <v>6040.52978515625</v>
      </c>
      <c r="C62" s="4">
        <v>6128.18017578125</v>
      </c>
      <c r="D62" s="4">
        <v>5773.31005859375</v>
      </c>
      <c r="E62" s="4">
        <v>5903.259765625</v>
      </c>
      <c r="F62" s="1">
        <v>88639380000</v>
      </c>
      <c r="G62" s="3">
        <v>2.7016304240444086E-2</v>
      </c>
      <c r="H62" s="2">
        <v>45658</v>
      </c>
      <c r="I62" s="6">
        <v>24.730602264404201</v>
      </c>
      <c r="J62" s="6">
        <v>25.709754340627899</v>
      </c>
      <c r="K62" s="6">
        <v>24.105809462068699</v>
      </c>
      <c r="L62" s="6">
        <v>24.945082924353699</v>
      </c>
      <c r="M62" s="6">
        <v>718268600</v>
      </c>
      <c r="N62" s="3">
        <v>-3.7692218557824187E-4</v>
      </c>
      <c r="O62" s="2">
        <v>45658</v>
      </c>
      <c r="P62">
        <v>4.21</v>
      </c>
      <c r="Q62">
        <v>4.18</v>
      </c>
      <c r="R62">
        <v>4.33</v>
      </c>
      <c r="S62">
        <v>4.43</v>
      </c>
      <c r="T62">
        <v>4.63</v>
      </c>
      <c r="U62">
        <v>4.92</v>
      </c>
      <c r="V62">
        <v>4.8499999999999996</v>
      </c>
      <c r="W62">
        <v>3.4683954326985795E-6</v>
      </c>
      <c r="X62">
        <v>2.3574332846883336E-4</v>
      </c>
      <c r="Z62">
        <v>0.35083333333333333</v>
      </c>
      <c r="AA62">
        <v>0.34833333333333333</v>
      </c>
      <c r="AB62">
        <v>0.36083333333333334</v>
      </c>
      <c r="AC62" s="7">
        <v>-0.32381702909288923</v>
      </c>
      <c r="AD62" s="7">
        <v>-0.35121025551891155</v>
      </c>
    </row>
    <row r="63" spans="1:30" x14ac:dyDescent="0.3">
      <c r="A63" s="2">
        <v>45689</v>
      </c>
      <c r="B63" s="4">
        <v>5954.5</v>
      </c>
      <c r="C63" s="4">
        <v>6147.43017578125</v>
      </c>
      <c r="D63" s="4">
        <v>5837.66015625</v>
      </c>
      <c r="E63" s="4">
        <v>5969.64990234375</v>
      </c>
      <c r="F63" s="1">
        <v>92317000000</v>
      </c>
      <c r="G63" s="3">
        <v>-1.4242092699825116E-2</v>
      </c>
      <c r="H63" s="2">
        <v>45689</v>
      </c>
      <c r="I63" s="6">
        <v>25.054136276245099</v>
      </c>
      <c r="J63" s="6">
        <v>25.622902494541201</v>
      </c>
      <c r="K63" s="6">
        <v>23.859727760240499</v>
      </c>
      <c r="L63" s="6">
        <v>24.930902661450901</v>
      </c>
      <c r="M63" s="6">
        <v>789050100</v>
      </c>
      <c r="N63" s="3">
        <v>1.3082334525535378E-2</v>
      </c>
      <c r="O63" s="2">
        <v>45689</v>
      </c>
      <c r="P63">
        <v>4.22</v>
      </c>
      <c r="Q63">
        <v>4.1900000000000004</v>
      </c>
      <c r="R63">
        <v>4.22</v>
      </c>
      <c r="S63">
        <v>4.28</v>
      </c>
      <c r="T63">
        <v>4.45</v>
      </c>
      <c r="U63">
        <v>4.7300000000000004</v>
      </c>
      <c r="V63">
        <v>4.68</v>
      </c>
      <c r="W63">
        <v>1.3448794692929114E-4</v>
      </c>
      <c r="X63">
        <v>6.7104113410000978E-4</v>
      </c>
      <c r="Z63">
        <v>0.35166666666666663</v>
      </c>
      <c r="AA63">
        <v>0.34916666666666668</v>
      </c>
      <c r="AB63">
        <v>0.35166666666666663</v>
      </c>
      <c r="AC63" s="7">
        <v>-0.36590875936649175</v>
      </c>
      <c r="AD63" s="7">
        <v>-0.33858433214113126</v>
      </c>
    </row>
    <row r="64" spans="1:30" x14ac:dyDescent="0.3">
      <c r="A64" s="2">
        <v>45717</v>
      </c>
      <c r="B64" s="4">
        <v>5611.85009765625</v>
      </c>
      <c r="C64" s="4">
        <v>5986.08984375</v>
      </c>
      <c r="D64" s="4">
        <v>5488.72998046875</v>
      </c>
      <c r="E64" s="4">
        <v>5968.330078125</v>
      </c>
      <c r="F64" s="1">
        <v>111387270000</v>
      </c>
      <c r="G64" s="3">
        <v>-5.7544697681375427E-2</v>
      </c>
      <c r="H64" s="2">
        <v>45717</v>
      </c>
      <c r="I64" s="6">
        <v>24.020877838134702</v>
      </c>
      <c r="J64" s="6">
        <v>25.821969331994001</v>
      </c>
      <c r="K64" s="6">
        <v>23.3288798223351</v>
      </c>
      <c r="L64" s="6">
        <v>24.997259863317101</v>
      </c>
      <c r="M64" s="6">
        <v>1211689800</v>
      </c>
      <c r="N64" s="3">
        <v>-4.1241032088185546E-2</v>
      </c>
      <c r="O64" s="2">
        <v>45717</v>
      </c>
      <c r="P64">
        <v>4.2</v>
      </c>
      <c r="Q64">
        <v>4.0599999999999996</v>
      </c>
      <c r="R64">
        <v>3.96</v>
      </c>
      <c r="S64">
        <v>4.04</v>
      </c>
      <c r="T64">
        <v>4.28</v>
      </c>
      <c r="U64">
        <v>4.63</v>
      </c>
      <c r="V64">
        <v>4.5999999999999996</v>
      </c>
      <c r="W64">
        <v>1.8255514749722197E-3</v>
      </c>
      <c r="X64">
        <v>4.7896180736772716E-3</v>
      </c>
      <c r="Z64">
        <v>0.35000000000000003</v>
      </c>
      <c r="AA64">
        <v>0.33833333333333332</v>
      </c>
      <c r="AB64">
        <v>0.33</v>
      </c>
      <c r="AC64" s="7">
        <v>-0.40754469768137547</v>
      </c>
      <c r="AD64" s="7">
        <v>-0.39124103208818556</v>
      </c>
    </row>
    <row r="65" spans="1:30" x14ac:dyDescent="0.3">
      <c r="A65" s="2">
        <v>45748</v>
      </c>
      <c r="B65" s="4">
        <v>5569.06005859375</v>
      </c>
      <c r="C65" s="4">
        <v>5695.31005859375</v>
      </c>
      <c r="D65" s="4">
        <v>4835.0400390625</v>
      </c>
      <c r="E65" s="4">
        <v>5597.52978515625</v>
      </c>
      <c r="F65" s="1">
        <v>118936380000</v>
      </c>
      <c r="G65" s="3">
        <v>-7.6249433462898374E-3</v>
      </c>
      <c r="H65" s="2">
        <v>45748</v>
      </c>
      <c r="I65" s="6">
        <v>23.139289855956999</v>
      </c>
      <c r="J65" s="6">
        <v>24.030356834993398</v>
      </c>
      <c r="K65" s="6">
        <v>19.830968806963298</v>
      </c>
      <c r="L65" s="6">
        <v>23.973480757880701</v>
      </c>
      <c r="M65" s="6">
        <v>1215932100</v>
      </c>
      <c r="N65" s="3">
        <v>-3.6700906108357301E-2</v>
      </c>
      <c r="O65" s="2">
        <v>45748</v>
      </c>
      <c r="P65">
        <v>4.21</v>
      </c>
      <c r="Q65">
        <v>3.95</v>
      </c>
      <c r="R65">
        <v>3.78</v>
      </c>
      <c r="S65">
        <v>3.91</v>
      </c>
      <c r="T65">
        <v>4.28</v>
      </c>
      <c r="U65">
        <v>4.74</v>
      </c>
      <c r="V65">
        <v>4.71</v>
      </c>
      <c r="W65">
        <v>1.4581970808277243E-3</v>
      </c>
      <c r="X65">
        <v>3.7200041616018611E-4</v>
      </c>
      <c r="Z65">
        <v>0.35083333333333333</v>
      </c>
      <c r="AA65">
        <v>0.32916666666666666</v>
      </c>
      <c r="AB65">
        <v>0.315</v>
      </c>
      <c r="AC65" s="7">
        <v>-0.35845827667962316</v>
      </c>
      <c r="AD65" s="7">
        <v>-0.38753423944169063</v>
      </c>
    </row>
    <row r="66" spans="1:30" x14ac:dyDescent="0.3">
      <c r="A66" s="2">
        <v>45778</v>
      </c>
      <c r="B66" s="4">
        <v>5911.68994140625</v>
      </c>
      <c r="C66" s="4">
        <v>5968.60986328125</v>
      </c>
      <c r="D66" s="4">
        <v>5578.64013671875</v>
      </c>
      <c r="E66" s="4">
        <v>5625.14013671875</v>
      </c>
      <c r="F66" s="1">
        <v>105346260000</v>
      </c>
      <c r="G66" s="3">
        <v>6.1523826140782882E-2</v>
      </c>
      <c r="H66" s="2">
        <v>45778</v>
      </c>
      <c r="I66" s="6">
        <v>22.2671813964843</v>
      </c>
      <c r="J66" s="6">
        <v>23.063453680562699</v>
      </c>
      <c r="K66" s="6">
        <v>20.8263075673846</v>
      </c>
      <c r="L66" s="6">
        <v>23.035014738967799</v>
      </c>
      <c r="M66" s="6">
        <v>962073700</v>
      </c>
      <c r="N66" s="3">
        <v>-3.7689508403309209E-2</v>
      </c>
      <c r="O66" s="2">
        <v>45778</v>
      </c>
      <c r="P66">
        <v>4.25</v>
      </c>
      <c r="Q66">
        <v>4.09</v>
      </c>
      <c r="R66">
        <v>3.9</v>
      </c>
      <c r="S66">
        <v>4.0199999999999996</v>
      </c>
      <c r="T66">
        <v>4.42</v>
      </c>
      <c r="U66">
        <v>4.92</v>
      </c>
      <c r="V66">
        <v>4.9000000000000004</v>
      </c>
      <c r="W66">
        <v>1.5346766354613942E-3</v>
      </c>
      <c r="X66">
        <v>2.4861649117778615E-3</v>
      </c>
      <c r="Z66">
        <v>0.35416666666666669</v>
      </c>
      <c r="AA66">
        <v>0.34083333333333332</v>
      </c>
      <c r="AB66">
        <v>0.32500000000000001</v>
      </c>
      <c r="AC66" s="7">
        <v>-0.2926428405258838</v>
      </c>
      <c r="AD66" s="7">
        <v>-0.39185617506997589</v>
      </c>
    </row>
    <row r="67" spans="1:30" x14ac:dyDescent="0.3">
      <c r="A67" s="2">
        <v>45809</v>
      </c>
      <c r="B67" s="4">
        <v>6204.9501953125</v>
      </c>
      <c r="C67" s="4">
        <v>6215.080078125</v>
      </c>
      <c r="D67" s="4">
        <v>5861.43017578125</v>
      </c>
      <c r="E67" s="4">
        <v>5896.68017578125</v>
      </c>
      <c r="F67" s="1">
        <v>106456300000</v>
      </c>
      <c r="G67" s="3">
        <v>4.960683946771579E-2</v>
      </c>
      <c r="H67" s="2">
        <v>45809</v>
      </c>
      <c r="I67" s="6">
        <v>23.416498184204102</v>
      </c>
      <c r="J67" s="6">
        <v>24.102378427304401</v>
      </c>
      <c r="K67" s="6">
        <v>22.2765858383124</v>
      </c>
      <c r="L67" s="6">
        <v>22.7402802763797</v>
      </c>
      <c r="M67" s="6">
        <v>750552000</v>
      </c>
      <c r="N67" s="3">
        <v>5.1614830240762459E-2</v>
      </c>
      <c r="O67" s="2">
        <v>45809</v>
      </c>
      <c r="P67">
        <v>4.2300000000000004</v>
      </c>
      <c r="Q67">
        <v>4.0599999999999996</v>
      </c>
      <c r="R67">
        <v>3.86</v>
      </c>
      <c r="S67">
        <v>3.96</v>
      </c>
      <c r="T67">
        <v>4.38</v>
      </c>
      <c r="U67">
        <v>4.9000000000000004</v>
      </c>
      <c r="V67">
        <v>4.8899999999999997</v>
      </c>
      <c r="W67">
        <v>2.512955698014247E-3</v>
      </c>
      <c r="X67">
        <v>1.4397828417964816E-3</v>
      </c>
      <c r="Z67">
        <v>0.35250000000000004</v>
      </c>
      <c r="AA67">
        <v>0.33833333333333332</v>
      </c>
      <c r="AB67">
        <v>0.32166666666666666</v>
      </c>
      <c r="AC67" s="7">
        <v>-0.30289316053228427</v>
      </c>
      <c r="AD67" s="7">
        <v>-0.30088516975923757</v>
      </c>
    </row>
    <row r="68" spans="1:30" x14ac:dyDescent="0.3">
      <c r="A68" s="2">
        <v>45839</v>
      </c>
      <c r="B68" s="4">
        <v>6339.39013671875</v>
      </c>
      <c r="C68" s="4">
        <v>6427.02001953125</v>
      </c>
      <c r="D68" s="4">
        <v>6177.97021484375</v>
      </c>
      <c r="E68" s="4">
        <v>6187.25</v>
      </c>
      <c r="F68" s="1">
        <v>114004890000</v>
      </c>
      <c r="G68" s="3">
        <v>2.1666562530640778E-2</v>
      </c>
      <c r="H68" s="2">
        <v>45839</v>
      </c>
      <c r="I68" s="6">
        <v>22.498773574829102</v>
      </c>
      <c r="J68" s="6">
        <v>25.165006930864902</v>
      </c>
      <c r="K68" s="6">
        <v>22.3538680259255</v>
      </c>
      <c r="L68" s="6">
        <v>23.455140247819202</v>
      </c>
      <c r="M68" s="6">
        <v>883499900</v>
      </c>
      <c r="N68" s="3">
        <v>-3.919136850248868E-2</v>
      </c>
      <c r="O68" s="2">
        <v>45839</v>
      </c>
      <c r="P68">
        <v>4.25</v>
      </c>
      <c r="Q68">
        <v>4.08</v>
      </c>
      <c r="R68">
        <v>3.84</v>
      </c>
      <c r="S68">
        <v>3.95</v>
      </c>
      <c r="T68">
        <v>4.3899999999999997</v>
      </c>
      <c r="U68">
        <v>4.92</v>
      </c>
      <c r="V68">
        <v>4.92</v>
      </c>
      <c r="W68">
        <v>1.6546028050417447E-3</v>
      </c>
      <c r="X68">
        <v>1.0008388891594931E-4</v>
      </c>
      <c r="Z68">
        <v>0.35416666666666669</v>
      </c>
      <c r="AA68">
        <v>0.34</v>
      </c>
      <c r="AB68">
        <v>0.32</v>
      </c>
      <c r="AC68" s="7">
        <v>-0.33250010413602593</v>
      </c>
      <c r="AD68" s="7">
        <v>-0.39335803516915535</v>
      </c>
    </row>
    <row r="69" spans="1:30" x14ac:dyDescent="0.3">
      <c r="A69" s="2">
        <v>45870</v>
      </c>
      <c r="B69" s="4">
        <v>6460.259765625</v>
      </c>
      <c r="C69" s="4">
        <v>6508.22998046875</v>
      </c>
      <c r="D69" s="4">
        <v>6212.68994140625</v>
      </c>
      <c r="E69" s="4">
        <v>6287.27978515625</v>
      </c>
      <c r="F69" s="1">
        <v>99352030000</v>
      </c>
      <c r="G69" s="3">
        <v>1.9066444295036206E-2</v>
      </c>
      <c r="H69" s="2">
        <v>45870</v>
      </c>
      <c r="I69" s="6">
        <v>24.331558227538999</v>
      </c>
      <c r="J69" s="6">
        <v>25.658198477348702</v>
      </c>
      <c r="K69" s="6">
        <v>22.710109866369098</v>
      </c>
      <c r="L69" s="6">
        <v>22.896820795536598</v>
      </c>
      <c r="M69" s="6">
        <v>911246200</v>
      </c>
      <c r="N69" s="3">
        <v>8.1461535963913922E-2</v>
      </c>
      <c r="O69" s="2">
        <v>45870</v>
      </c>
      <c r="P69">
        <v>4.12</v>
      </c>
      <c r="Q69">
        <v>3.89</v>
      </c>
      <c r="R69">
        <v>3.67</v>
      </c>
      <c r="S69">
        <v>3.79</v>
      </c>
      <c r="T69">
        <v>4.26</v>
      </c>
      <c r="U69">
        <v>4.8499999999999996</v>
      </c>
      <c r="V69">
        <v>4.87</v>
      </c>
      <c r="W69">
        <v>6.3961758173076986E-3</v>
      </c>
      <c r="X69">
        <v>5.4820331505536719E-5</v>
      </c>
      <c r="Z69">
        <v>0.34333333333333332</v>
      </c>
      <c r="AA69">
        <v>0.32416666666666666</v>
      </c>
      <c r="AB69">
        <v>0.30583333333333335</v>
      </c>
      <c r="AC69" s="7">
        <v>-0.32426688903829715</v>
      </c>
      <c r="AD69" s="7">
        <v>-0.2618717973694194</v>
      </c>
    </row>
    <row r="70" spans="1:30" x14ac:dyDescent="0.3">
      <c r="A70" s="2">
        <v>45901</v>
      </c>
      <c r="B70" s="4">
        <v>6688.4599609375</v>
      </c>
      <c r="C70" s="4">
        <v>6699.52001953125</v>
      </c>
      <c r="D70" s="4">
        <v>6360.580078125</v>
      </c>
      <c r="E70" s="4">
        <v>6401.509765625</v>
      </c>
      <c r="F70" s="1">
        <v>114074610000</v>
      </c>
      <c r="G70" s="3">
        <v>3.5323687218701598E-2</v>
      </c>
      <c r="H70" s="2">
        <v>45901</v>
      </c>
      <c r="I70" s="6">
        <v>25.039098739623999</v>
      </c>
      <c r="J70" s="6">
        <v>25.1865027948344</v>
      </c>
      <c r="K70" s="6">
        <v>23.171976333488601</v>
      </c>
      <c r="L70" s="6">
        <v>24.3020765892276</v>
      </c>
      <c r="M70" s="6">
        <v>1100895200</v>
      </c>
      <c r="N70" s="3">
        <v>2.9079128655401524E-2</v>
      </c>
      <c r="O70" s="2">
        <v>45901</v>
      </c>
      <c r="P70">
        <v>3.92</v>
      </c>
      <c r="Q70">
        <v>3.66</v>
      </c>
      <c r="R70">
        <v>3.55</v>
      </c>
      <c r="S70">
        <v>3.66</v>
      </c>
      <c r="T70">
        <v>4.12</v>
      </c>
      <c r="U70">
        <v>4.71</v>
      </c>
      <c r="V70">
        <v>4.74</v>
      </c>
      <c r="W70">
        <v>7.6141161623770597E-4</v>
      </c>
      <c r="X70">
        <v>5.5985798154349316E-4</v>
      </c>
      <c r="Z70">
        <v>0.32666666666666666</v>
      </c>
      <c r="AA70">
        <v>0.30499999999999999</v>
      </c>
      <c r="AB70">
        <v>0.29583333333333334</v>
      </c>
      <c r="AC70" s="7">
        <v>-0.29134297944796506</v>
      </c>
      <c r="AD70" s="7">
        <v>-0.29758753801126514</v>
      </c>
    </row>
    <row r="71" spans="1:30" x14ac:dyDescent="0.3">
      <c r="A71" s="2">
        <v>45931</v>
      </c>
      <c r="B71" s="4">
        <v>6840.2001953125</v>
      </c>
      <c r="C71" s="4">
        <v>6920.33984375</v>
      </c>
      <c r="D71" s="4">
        <v>6550.77978515625</v>
      </c>
      <c r="E71" s="4">
        <v>6664.919921875</v>
      </c>
      <c r="F71" s="1">
        <v>129661660000</v>
      </c>
      <c r="G71" s="3">
        <v>2.2686871904923696E-2</v>
      </c>
      <c r="H71" s="2">
        <v>45931</v>
      </c>
      <c r="I71" s="6">
        <v>24.223461151123001</v>
      </c>
      <c r="J71" s="6">
        <v>27.210858522979301</v>
      </c>
      <c r="K71" s="6">
        <v>23.7321130471475</v>
      </c>
      <c r="L71" s="6">
        <v>25.5206198457232</v>
      </c>
      <c r="M71" s="6">
        <v>1410205800</v>
      </c>
      <c r="N71" s="3">
        <v>-3.2574558572679921E-2</v>
      </c>
      <c r="O71" s="2">
        <v>45931</v>
      </c>
      <c r="P71">
        <v>3.82</v>
      </c>
      <c r="Q71">
        <v>3.61</v>
      </c>
      <c r="R71">
        <v>3.53</v>
      </c>
      <c r="S71">
        <v>3.65</v>
      </c>
      <c r="T71">
        <v>4.0599999999999996</v>
      </c>
      <c r="U71">
        <v>4.6100000000000003</v>
      </c>
      <c r="V71">
        <v>4.6399999999999997</v>
      </c>
      <c r="W71">
        <v>1.1600835489026075E-3</v>
      </c>
      <c r="X71">
        <v>1.2153966509127534E-4</v>
      </c>
      <c r="Z71">
        <v>0.3183333333333333</v>
      </c>
      <c r="AA71">
        <v>0.30083333333333334</v>
      </c>
      <c r="AB71">
        <v>0.29416666666666663</v>
      </c>
      <c r="AC71" s="7">
        <v>-0.29564646142840961</v>
      </c>
      <c r="AD71" s="7">
        <v>-0.35090789190601324</v>
      </c>
    </row>
    <row r="72" spans="1:30" x14ac:dyDescent="0.3">
      <c r="A72" s="2">
        <v>45962</v>
      </c>
      <c r="B72" s="4">
        <v>6849.08984375</v>
      </c>
      <c r="C72" s="4">
        <v>6882.31982421875</v>
      </c>
      <c r="D72" s="4">
        <v>6521.919921875</v>
      </c>
      <c r="E72" s="4">
        <v>6882.31982421875</v>
      </c>
      <c r="F72" s="1">
        <v>100880170000</v>
      </c>
      <c r="G72" s="3">
        <v>1.2996181666717825E-3</v>
      </c>
      <c r="H72" s="2">
        <v>45962</v>
      </c>
      <c r="I72" s="6">
        <v>25.294599533081001</v>
      </c>
      <c r="J72" s="6">
        <v>26.021794483797699</v>
      </c>
      <c r="K72" s="6">
        <v>23.496265592625701</v>
      </c>
      <c r="L72" s="6">
        <v>24.1644992971611</v>
      </c>
      <c r="M72" s="6">
        <v>1760347600</v>
      </c>
      <c r="N72" s="3">
        <v>4.4219047611548386E-2</v>
      </c>
      <c r="O72" s="2">
        <v>45962</v>
      </c>
      <c r="P72">
        <v>3.78</v>
      </c>
      <c r="Q72">
        <v>3.66</v>
      </c>
      <c r="R72">
        <v>3.56</v>
      </c>
      <c r="S72">
        <v>3.67</v>
      </c>
      <c r="T72">
        <v>4.09</v>
      </c>
      <c r="U72">
        <v>4.67</v>
      </c>
      <c r="V72">
        <v>4.7</v>
      </c>
      <c r="W72">
        <v>1.8261611616184014E-3</v>
      </c>
      <c r="X72">
        <v>1.073866040904968E-4</v>
      </c>
      <c r="Z72">
        <v>0.315</v>
      </c>
      <c r="AA72">
        <v>0.30499999999999999</v>
      </c>
      <c r="AB72">
        <v>0.29666666666666669</v>
      </c>
      <c r="AC72" s="7">
        <v>-0.31370038183332821</v>
      </c>
      <c r="AD72" s="7">
        <v>-0.27078095238845162</v>
      </c>
    </row>
    <row r="75" spans="1:30" x14ac:dyDescent="0.3">
      <c r="F75" t="s">
        <v>65</v>
      </c>
      <c r="G75" s="7">
        <f>AVERAGE(G2:G72)</f>
        <v>1.1867179439039534E-2</v>
      </c>
      <c r="M75" t="s">
        <v>66</v>
      </c>
      <c r="N75" s="7">
        <f>AVERAGE(N2:N72)</f>
        <v>1.1753338653290181E-3</v>
      </c>
      <c r="V75" t="s">
        <v>67</v>
      </c>
      <c r="W75">
        <f>SUM(W2:W72)</f>
        <v>0.38019182488138881</v>
      </c>
      <c r="X75">
        <f>SUM(X2:X72)</f>
        <v>0.17355915369957381</v>
      </c>
    </row>
    <row r="76" spans="1:30" x14ac:dyDescent="0.3">
      <c r="F76" t="s">
        <v>69</v>
      </c>
      <c r="G76">
        <f>_xlfn.VAR.S(G2:G72)</f>
        <v>2.4793739348442766E-3</v>
      </c>
      <c r="M76" t="s">
        <v>70</v>
      </c>
      <c r="N76">
        <f>_xlfn.VAR.S(N2:N72)</f>
        <v>5.4312142439817091E-3</v>
      </c>
      <c r="V76" t="s">
        <v>68</v>
      </c>
      <c r="W76">
        <f>COUNT(W2:W72)-1</f>
        <v>70</v>
      </c>
      <c r="X76">
        <f>COUNT(X2:X72)-1</f>
        <v>70</v>
      </c>
    </row>
    <row r="77" spans="1:30" x14ac:dyDescent="0.3">
      <c r="F77" t="s">
        <v>71</v>
      </c>
      <c r="G77">
        <f>_xlfn.COVARIANCE.S(G2:G72,N2:N72)</f>
        <v>1.4647280725410092E-3</v>
      </c>
      <c r="V77" t="s">
        <v>70</v>
      </c>
      <c r="W77">
        <f>W75/W76</f>
        <v>5.4313117840198398E-3</v>
      </c>
      <c r="X77">
        <f>X75/X76</f>
        <v>2.479416481422483E-3</v>
      </c>
      <c r="Z77" t="s">
        <v>79</v>
      </c>
    </row>
    <row r="79" spans="1:30" x14ac:dyDescent="0.3">
      <c r="E79" s="4" t="s">
        <v>78</v>
      </c>
      <c r="F79" t="s">
        <v>72</v>
      </c>
      <c r="G79">
        <f>G77/G76</f>
        <v>0.59076529439800096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A832-FC41-4611-B604-257025023F0F}">
  <dimension ref="A1:AG79"/>
  <sheetViews>
    <sheetView tabSelected="1" topLeftCell="H1" workbookViewId="0">
      <pane ySplit="1" topLeftCell="A5" activePane="bottomLeft" state="frozen"/>
      <selection activeCell="H1" sqref="H1"/>
      <selection pane="bottomLeft" activeCell="S29" sqref="S29"/>
    </sheetView>
  </sheetViews>
  <sheetFormatPr defaultRowHeight="14.4" x14ac:dyDescent="0.3"/>
  <cols>
    <col min="1" max="1" width="9.33203125" bestFit="1" customWidth="1"/>
    <col min="2" max="5" width="19.88671875" style="4" bestFit="1" customWidth="1"/>
    <col min="6" max="6" width="18.44140625" bestFit="1" customWidth="1"/>
    <col min="7" max="7" width="12.77734375" bestFit="1" customWidth="1"/>
    <col min="8" max="8" width="9.33203125" bestFit="1" customWidth="1"/>
    <col min="9" max="9" width="10.5546875" bestFit="1" customWidth="1"/>
    <col min="10" max="11" width="9.6640625" bestFit="1" customWidth="1"/>
    <col min="12" max="12" width="10.33203125" bestFit="1" customWidth="1"/>
    <col min="13" max="13" width="19.5546875" bestFit="1" customWidth="1"/>
    <col min="14" max="14" width="9.77734375" bestFit="1" customWidth="1"/>
    <col min="15" max="15" width="9.33203125" bestFit="1" customWidth="1"/>
    <col min="16" max="16" width="14.5546875" bestFit="1" customWidth="1"/>
    <col min="17" max="19" width="17.77734375" bestFit="1" customWidth="1"/>
    <col min="20" max="22" width="18.77734375" bestFit="1" customWidth="1"/>
    <col min="23" max="23" width="17.44140625" bestFit="1" customWidth="1"/>
    <col min="26" max="26" width="12.44140625" style="8" bestFit="1" customWidth="1"/>
    <col min="27" max="27" width="17.33203125" bestFit="1" customWidth="1"/>
    <col min="28" max="29" width="20.44140625" bestFit="1" customWidth="1"/>
    <col min="30" max="30" width="12.5546875" bestFit="1" customWidth="1"/>
  </cols>
  <sheetData>
    <row r="1" spans="1:33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t="s">
        <v>6</v>
      </c>
      <c r="H1" t="s">
        <v>0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3" t="s">
        <v>55</v>
      </c>
      <c r="O1" s="6" t="s">
        <v>0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Z1" s="8" t="s">
        <v>81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</row>
    <row r="2" spans="1:33" x14ac:dyDescent="0.3">
      <c r="A2" s="2">
        <v>43831</v>
      </c>
      <c r="B2" s="4">
        <v>3225.52001953125</v>
      </c>
      <c r="C2" s="4">
        <v>3337.77001953125</v>
      </c>
      <c r="D2" s="5" t="s">
        <v>7</v>
      </c>
      <c r="E2" s="4">
        <v>3244.669921875</v>
      </c>
      <c r="F2" s="1">
        <v>77287980000</v>
      </c>
      <c r="G2" s="3">
        <v>-1.6280928190474046E-3</v>
      </c>
      <c r="H2" s="2">
        <v>43831</v>
      </c>
      <c r="I2" s="6">
        <v>26.598354339599599</v>
      </c>
      <c r="J2" s="6">
        <v>29.262474416083499</v>
      </c>
      <c r="K2" s="6">
        <v>26.2055198189701</v>
      </c>
      <c r="L2" s="6">
        <v>28.069692541441</v>
      </c>
      <c r="M2" s="6">
        <v>531835964</v>
      </c>
      <c r="N2" s="3">
        <v>-4.9515031217312752E-2</v>
      </c>
      <c r="O2" s="2">
        <v>43831</v>
      </c>
      <c r="P2">
        <v>1.52</v>
      </c>
      <c r="Q2">
        <v>1.53</v>
      </c>
      <c r="R2">
        <v>1.52</v>
      </c>
      <c r="S2">
        <v>1.56</v>
      </c>
      <c r="T2">
        <v>1.76</v>
      </c>
      <c r="U2">
        <v>2.0699999999999998</v>
      </c>
      <c r="V2">
        <v>2.2200000000000002</v>
      </c>
      <c r="W2">
        <v>2.6010481334641632E-3</v>
      </c>
      <c r="X2">
        <v>1.7663637441045293E-4</v>
      </c>
      <c r="Z2" s="8">
        <f>Q2/12/100</f>
        <v>1.2750000000000001E-3</v>
      </c>
      <c r="AA2">
        <v>0.12666666666666668</v>
      </c>
      <c r="AB2">
        <v>0.1275</v>
      </c>
      <c r="AC2">
        <v>0.12666666666666668</v>
      </c>
      <c r="AD2" s="7">
        <f>G2-Z2</f>
        <v>-2.9030928190474049E-3</v>
      </c>
      <c r="AE2" s="7">
        <f>N2-Z2</f>
        <v>-5.079003121731275E-2</v>
      </c>
    </row>
    <row r="3" spans="1:33" x14ac:dyDescent="0.3">
      <c r="A3" s="2">
        <v>43862</v>
      </c>
      <c r="B3" s="5" t="s">
        <v>8</v>
      </c>
      <c r="C3" s="4">
        <v>3393.52001953125</v>
      </c>
      <c r="D3" s="5" t="s">
        <v>9</v>
      </c>
      <c r="E3" s="5" t="s">
        <v>10</v>
      </c>
      <c r="F3" s="1">
        <v>84436590000</v>
      </c>
      <c r="G3" s="3">
        <v>-8.4110483638404704E-2</v>
      </c>
      <c r="H3" s="2">
        <v>43862</v>
      </c>
      <c r="I3" s="6">
        <v>24.113784790038999</v>
      </c>
      <c r="J3" s="6">
        <v>27.8297033793575</v>
      </c>
      <c r="K3" s="6">
        <v>23.471616365780001</v>
      </c>
      <c r="L3" s="6">
        <v>27.028796595132899</v>
      </c>
      <c r="M3" s="6">
        <v>586886279</v>
      </c>
      <c r="N3" s="3">
        <v>-9.3410649314554617E-2</v>
      </c>
      <c r="O3" s="2">
        <v>43862</v>
      </c>
      <c r="P3">
        <v>1.52</v>
      </c>
      <c r="Q3">
        <v>1.41</v>
      </c>
      <c r="R3">
        <v>1.31</v>
      </c>
      <c r="S3">
        <v>1.32</v>
      </c>
      <c r="T3">
        <v>1.5</v>
      </c>
      <c r="U3">
        <v>1.81</v>
      </c>
      <c r="V3">
        <v>1.97</v>
      </c>
      <c r="W3">
        <v>9.0052678957253818E-3</v>
      </c>
      <c r="X3">
        <v>9.1724392956293883E-3</v>
      </c>
      <c r="Z3" s="8">
        <f t="shared" ref="Z3:Z66" si="0">Q3/12/100</f>
        <v>1.1749999999999998E-3</v>
      </c>
      <c r="AA3">
        <v>0.12666666666666668</v>
      </c>
      <c r="AB3">
        <v>0.11749999999999999</v>
      </c>
      <c r="AC3">
        <v>0.10916666666666668</v>
      </c>
      <c r="AD3" s="7">
        <f t="shared" ref="AD3:AD66" si="1">G3-Z3</f>
        <v>-8.5285483638404699E-2</v>
      </c>
      <c r="AE3" s="7">
        <f t="shared" ref="AE3:AE66" si="2">N3-Z3</f>
        <v>-9.4585649314554612E-2</v>
      </c>
      <c r="AG3">
        <f>_xlfn.VAR.S(AD2:AD72)</f>
        <v>2.4815836207677387E-3</v>
      </c>
    </row>
    <row r="4" spans="1:33" x14ac:dyDescent="0.3">
      <c r="A4" s="2">
        <v>43891</v>
      </c>
      <c r="B4" s="5" t="s">
        <v>11</v>
      </c>
      <c r="C4" s="5" t="s">
        <v>12</v>
      </c>
      <c r="D4" s="5" t="s">
        <v>13</v>
      </c>
      <c r="E4" s="5" t="s">
        <v>14</v>
      </c>
      <c r="F4" s="1">
        <v>162185380000</v>
      </c>
      <c r="G4" s="3">
        <v>-0.12511928240892844</v>
      </c>
      <c r="H4" s="2">
        <v>43891</v>
      </c>
      <c r="I4" s="6">
        <v>23.5509853363037</v>
      </c>
      <c r="J4" s="6">
        <v>26.3072573063784</v>
      </c>
      <c r="K4" s="6">
        <v>20.116465674399599</v>
      </c>
      <c r="L4" s="6">
        <v>24.467337664884401</v>
      </c>
      <c r="M4" s="6">
        <v>1019616939</v>
      </c>
      <c r="N4" s="3">
        <v>-2.333932473212506E-2</v>
      </c>
      <c r="O4" s="2">
        <v>43891</v>
      </c>
      <c r="P4">
        <v>0.28999999999999998</v>
      </c>
      <c r="Q4">
        <v>0.33</v>
      </c>
      <c r="R4">
        <v>0.5</v>
      </c>
      <c r="S4">
        <v>0.59</v>
      </c>
      <c r="T4">
        <v>0.87</v>
      </c>
      <c r="U4">
        <v>1.26</v>
      </c>
      <c r="V4">
        <v>1.46</v>
      </c>
      <c r="W4">
        <v>6.1626897762859538E-4</v>
      </c>
      <c r="X4">
        <v>1.8709220152344538E-2</v>
      </c>
      <c r="Z4" s="8">
        <f t="shared" si="0"/>
        <v>2.7500000000000002E-4</v>
      </c>
      <c r="AA4">
        <v>2.4166666666666666E-2</v>
      </c>
      <c r="AB4">
        <v>2.75E-2</v>
      </c>
      <c r="AC4">
        <v>4.1666666666666664E-2</v>
      </c>
      <c r="AD4" s="7">
        <f t="shared" si="1"/>
        <v>-0.12539428240892844</v>
      </c>
      <c r="AE4" s="7">
        <f t="shared" si="2"/>
        <v>-2.3614324732125061E-2</v>
      </c>
      <c r="AG4">
        <f>_xlfn.COVARIANCE.S(AE:AE,AD:AD)</f>
        <v>1.4964606936933669E-3</v>
      </c>
    </row>
    <row r="5" spans="1:33" x14ac:dyDescent="0.3">
      <c r="A5" s="2">
        <v>43922</v>
      </c>
      <c r="B5" s="5" t="s">
        <v>15</v>
      </c>
      <c r="C5" s="5" t="s">
        <v>16</v>
      </c>
      <c r="D5" s="5" t="s">
        <v>17</v>
      </c>
      <c r="E5" s="4">
        <v>2498.080078125</v>
      </c>
      <c r="F5" s="1">
        <v>123608160000</v>
      </c>
      <c r="G5" s="3">
        <v>0.12684403816527914</v>
      </c>
      <c r="H5" s="2">
        <v>43922</v>
      </c>
      <c r="I5" s="6">
        <v>27.678178787231399</v>
      </c>
      <c r="J5" s="6">
        <v>28.2986993299468</v>
      </c>
      <c r="K5" s="6">
        <v>22.750077761589001</v>
      </c>
      <c r="L5" s="6">
        <v>23.031476646088802</v>
      </c>
      <c r="M5" s="6">
        <v>533383339</v>
      </c>
      <c r="N5" s="3">
        <v>0.17524504355092332</v>
      </c>
      <c r="O5" s="2">
        <v>43922</v>
      </c>
      <c r="P5">
        <v>0.14000000000000001</v>
      </c>
      <c r="Q5">
        <v>0.18</v>
      </c>
      <c r="R5">
        <v>0.28000000000000003</v>
      </c>
      <c r="S5">
        <v>0.39</v>
      </c>
      <c r="T5">
        <v>0.66</v>
      </c>
      <c r="U5">
        <v>1.06</v>
      </c>
      <c r="V5">
        <v>1.27</v>
      </c>
      <c r="W5">
        <v>3.0192399590830029E-2</v>
      </c>
      <c r="X5">
        <v>1.3266816919959882E-2</v>
      </c>
      <c r="Z5" s="8">
        <f t="shared" si="0"/>
        <v>1.4999999999999999E-4</v>
      </c>
      <c r="AA5">
        <v>1.1666666666666667E-2</v>
      </c>
      <c r="AB5">
        <v>1.4999999999999999E-2</v>
      </c>
      <c r="AC5">
        <v>2.3333333333333334E-2</v>
      </c>
      <c r="AD5" s="7">
        <f t="shared" si="1"/>
        <v>0.12669403816527913</v>
      </c>
      <c r="AE5" s="7">
        <f t="shared" si="2"/>
        <v>0.17509504355092331</v>
      </c>
      <c r="AG5">
        <f>AG4/AG3</f>
        <v>0.60302650338673658</v>
      </c>
    </row>
    <row r="6" spans="1:33" x14ac:dyDescent="0.3">
      <c r="A6" s="2">
        <v>43952</v>
      </c>
      <c r="B6" s="4">
        <v>3044.31005859375</v>
      </c>
      <c r="C6" s="4">
        <v>3068.669921875</v>
      </c>
      <c r="D6" s="5" t="s">
        <v>18</v>
      </c>
      <c r="E6" s="5" t="s">
        <v>19</v>
      </c>
      <c r="F6" s="1">
        <v>107135190000</v>
      </c>
      <c r="G6" s="3">
        <v>4.5281819665560073E-2</v>
      </c>
      <c r="H6" s="2">
        <v>43952</v>
      </c>
      <c r="I6" s="6">
        <v>27.555515289306602</v>
      </c>
      <c r="J6" s="6">
        <v>28.147175832010099</v>
      </c>
      <c r="K6" s="6">
        <v>26.4010541371111</v>
      </c>
      <c r="L6" s="6">
        <v>27.310191351614399</v>
      </c>
      <c r="M6" s="6">
        <v>474627691</v>
      </c>
      <c r="N6" s="3">
        <v>-4.4317763414905452E-3</v>
      </c>
      <c r="O6" s="2">
        <v>43952</v>
      </c>
      <c r="P6">
        <v>0.13</v>
      </c>
      <c r="Q6">
        <v>0.16</v>
      </c>
      <c r="R6">
        <v>0.22</v>
      </c>
      <c r="S6">
        <v>0.34</v>
      </c>
      <c r="T6">
        <v>0.67</v>
      </c>
      <c r="U6">
        <v>1.1200000000000001</v>
      </c>
      <c r="V6">
        <v>1.38</v>
      </c>
      <c r="W6">
        <v>3.5013457246417682E-5</v>
      </c>
      <c r="X6">
        <v>1.130267465464992E-3</v>
      </c>
      <c r="Z6" s="8">
        <f t="shared" si="0"/>
        <v>1.3333333333333334E-4</v>
      </c>
      <c r="AA6">
        <v>1.0833333333333334E-2</v>
      </c>
      <c r="AB6">
        <v>1.3333333333333334E-2</v>
      </c>
      <c r="AC6">
        <v>1.8333333333333333E-2</v>
      </c>
      <c r="AD6" s="7">
        <f t="shared" si="1"/>
        <v>4.5148486332226741E-2</v>
      </c>
      <c r="AE6" s="7">
        <f t="shared" si="2"/>
        <v>-4.5651096748238786E-3</v>
      </c>
    </row>
    <row r="7" spans="1:33" x14ac:dyDescent="0.3">
      <c r="A7" s="2">
        <v>43983</v>
      </c>
      <c r="B7" s="4">
        <v>3100.2900390625</v>
      </c>
      <c r="C7" s="4">
        <v>3233.1298828125</v>
      </c>
      <c r="D7" s="5" t="s">
        <v>20</v>
      </c>
      <c r="E7" s="5" t="s">
        <v>21</v>
      </c>
      <c r="F7" s="1">
        <v>131458880000</v>
      </c>
      <c r="G7" s="3">
        <v>1.83883965139243E-2</v>
      </c>
      <c r="H7" s="2">
        <v>43983</v>
      </c>
      <c r="I7" s="6">
        <v>23.8294143676757</v>
      </c>
      <c r="J7" s="6">
        <v>26.7151787637323</v>
      </c>
      <c r="K7" s="6">
        <v>23.035101092584899</v>
      </c>
      <c r="L7" s="6">
        <v>25.869852877769201</v>
      </c>
      <c r="M7" s="6">
        <v>811003042</v>
      </c>
      <c r="N7" s="3">
        <v>-0.13522160200999328</v>
      </c>
      <c r="O7" s="2">
        <v>43983</v>
      </c>
      <c r="P7">
        <v>0.16</v>
      </c>
      <c r="Q7">
        <v>0.18</v>
      </c>
      <c r="R7">
        <v>0.22</v>
      </c>
      <c r="S7">
        <v>0.34</v>
      </c>
      <c r="T7">
        <v>0.73</v>
      </c>
      <c r="U7">
        <v>1.27</v>
      </c>
      <c r="V7">
        <v>1.49</v>
      </c>
      <c r="W7">
        <v>1.8688815520281243E-2</v>
      </c>
      <c r="X7">
        <v>4.5239446600412852E-5</v>
      </c>
      <c r="Z7" s="8">
        <f t="shared" si="0"/>
        <v>1.4999999999999999E-4</v>
      </c>
      <c r="AA7">
        <v>1.3333333333333334E-2</v>
      </c>
      <c r="AB7">
        <v>1.4999999999999999E-2</v>
      </c>
      <c r="AC7">
        <v>1.8333333333333333E-2</v>
      </c>
      <c r="AD7" s="7">
        <f t="shared" si="1"/>
        <v>1.8238396513924299E-2</v>
      </c>
      <c r="AE7" s="7">
        <f t="shared" si="2"/>
        <v>-0.13537160200999329</v>
      </c>
      <c r="AG7" t="s">
        <v>80</v>
      </c>
    </row>
    <row r="8" spans="1:33" x14ac:dyDescent="0.3">
      <c r="A8" s="2">
        <v>44013</v>
      </c>
      <c r="B8" s="4">
        <v>3271.1201171875</v>
      </c>
      <c r="C8" s="5" t="s">
        <v>22</v>
      </c>
      <c r="D8" s="4">
        <v>3101.169921875</v>
      </c>
      <c r="E8" s="4">
        <v>3105.919921875</v>
      </c>
      <c r="F8" s="1">
        <v>96928130000</v>
      </c>
      <c r="G8" s="3">
        <v>5.5101321480443645E-2</v>
      </c>
      <c r="H8" s="2">
        <v>44013</v>
      </c>
      <c r="I8" s="6">
        <v>28.041458129882798</v>
      </c>
      <c r="J8" s="6">
        <v>28.7483271690576</v>
      </c>
      <c r="K8" s="6">
        <v>24.120902073788098</v>
      </c>
      <c r="L8" s="6">
        <v>25.170269442373598</v>
      </c>
      <c r="M8" s="6">
        <v>824072643</v>
      </c>
      <c r="N8" s="3">
        <v>0.17675817362598231</v>
      </c>
      <c r="O8" s="2">
        <v>44013</v>
      </c>
      <c r="P8">
        <v>0.13</v>
      </c>
      <c r="Q8">
        <v>0.15</v>
      </c>
      <c r="R8">
        <v>0.17</v>
      </c>
      <c r="S8">
        <v>0.28000000000000003</v>
      </c>
      <c r="T8">
        <v>0.62</v>
      </c>
      <c r="U8">
        <v>1.0900000000000001</v>
      </c>
      <c r="V8">
        <v>1.31</v>
      </c>
      <c r="W8">
        <v>3.0720530915331116E-2</v>
      </c>
      <c r="X8">
        <v>1.886942595713395E-3</v>
      </c>
      <c r="Z8" s="8">
        <f t="shared" si="0"/>
        <v>1.25E-4</v>
      </c>
      <c r="AA8">
        <v>1.0833333333333334E-2</v>
      </c>
      <c r="AB8">
        <v>1.2499999999999999E-2</v>
      </c>
      <c r="AC8">
        <v>1.4166666666666668E-2</v>
      </c>
      <c r="AD8" s="7">
        <f t="shared" si="1"/>
        <v>5.4976321480443645E-2</v>
      </c>
      <c r="AE8" s="7">
        <f t="shared" si="2"/>
        <v>0.17663317362598233</v>
      </c>
    </row>
    <row r="9" spans="1:33" x14ac:dyDescent="0.3">
      <c r="A9" s="2">
        <v>44044</v>
      </c>
      <c r="B9" s="4">
        <v>3500.31005859375</v>
      </c>
      <c r="C9" s="4">
        <v>3514.77001953125</v>
      </c>
      <c r="D9" s="5" t="s">
        <v>23</v>
      </c>
      <c r="E9" s="5" t="s">
        <v>24</v>
      </c>
      <c r="F9" s="1">
        <v>82466520000</v>
      </c>
      <c r="G9" s="3">
        <v>7.0064666901717712E-2</v>
      </c>
      <c r="H9" s="2">
        <v>44044</v>
      </c>
      <c r="I9" s="6">
        <v>27.807792663574201</v>
      </c>
      <c r="J9" s="6">
        <v>28.771757948666899</v>
      </c>
      <c r="K9" s="6">
        <v>27.520811693626701</v>
      </c>
      <c r="L9" s="6">
        <v>28.411189990487401</v>
      </c>
      <c r="M9" s="6">
        <v>470078941</v>
      </c>
      <c r="N9" s="3">
        <v>-8.3328572011591735E-3</v>
      </c>
      <c r="O9" s="2">
        <v>44044</v>
      </c>
      <c r="P9">
        <v>0.1</v>
      </c>
      <c r="Q9">
        <v>0.13</v>
      </c>
      <c r="R9">
        <v>0.16</v>
      </c>
      <c r="S9">
        <v>0.27</v>
      </c>
      <c r="T9">
        <v>0.65</v>
      </c>
      <c r="U9">
        <v>1.1399999999999999</v>
      </c>
      <c r="V9">
        <v>1.36</v>
      </c>
      <c r="W9">
        <v>9.6398973228418978E-5</v>
      </c>
      <c r="X9">
        <v>3.4108284043892069E-3</v>
      </c>
      <c r="Z9" s="8">
        <f t="shared" si="0"/>
        <v>1.0833333333333334E-4</v>
      </c>
      <c r="AA9">
        <v>8.3333333333333332E-3</v>
      </c>
      <c r="AB9">
        <v>1.0833333333333334E-2</v>
      </c>
      <c r="AC9">
        <v>1.3333333333333334E-2</v>
      </c>
      <c r="AD9" s="7">
        <f t="shared" si="1"/>
        <v>6.9956333568384377E-2</v>
      </c>
      <c r="AE9" s="7">
        <f t="shared" si="2"/>
        <v>-8.441190534492507E-3</v>
      </c>
    </row>
    <row r="10" spans="1:33" x14ac:dyDescent="0.3">
      <c r="A10" s="2">
        <v>44075</v>
      </c>
      <c r="B10" s="4">
        <v>3363</v>
      </c>
      <c r="C10" s="5" t="s">
        <v>25</v>
      </c>
      <c r="D10" s="5" t="s">
        <v>26</v>
      </c>
      <c r="E10" s="4">
        <v>3507.43994140625</v>
      </c>
      <c r="F10" s="1">
        <v>92310780000</v>
      </c>
      <c r="G10" s="3">
        <v>-3.922797017842309E-2</v>
      </c>
      <c r="H10" s="2">
        <v>44075</v>
      </c>
      <c r="I10" s="6">
        <v>27.0057163238525</v>
      </c>
      <c r="J10" s="6">
        <v>27.829871709121502</v>
      </c>
      <c r="K10" s="6">
        <v>26.034395828665801</v>
      </c>
      <c r="L10" s="6">
        <v>27.807794427800101</v>
      </c>
      <c r="M10" s="6">
        <v>510247724</v>
      </c>
      <c r="N10" s="3">
        <v>-2.8843581704791389E-2</v>
      </c>
      <c r="O10" s="2">
        <v>44075</v>
      </c>
      <c r="P10">
        <v>0.11</v>
      </c>
      <c r="Q10">
        <v>0.13</v>
      </c>
      <c r="R10">
        <v>0.16</v>
      </c>
      <c r="S10">
        <v>0.27</v>
      </c>
      <c r="T10">
        <v>0.68</v>
      </c>
      <c r="U10">
        <v>1.21</v>
      </c>
      <c r="V10">
        <v>1.42</v>
      </c>
      <c r="W10">
        <v>9.1984959864803515E-4</v>
      </c>
      <c r="X10">
        <v>2.589826618045426E-3</v>
      </c>
      <c r="Z10" s="8">
        <f t="shared" si="0"/>
        <v>1.0833333333333334E-4</v>
      </c>
      <c r="AA10">
        <v>9.1666666666666667E-3</v>
      </c>
      <c r="AB10">
        <v>1.0833333333333334E-2</v>
      </c>
      <c r="AC10">
        <v>1.3333333333333334E-2</v>
      </c>
      <c r="AD10" s="7">
        <f t="shared" si="1"/>
        <v>-3.9336303511756425E-2</v>
      </c>
      <c r="AE10" s="7">
        <f t="shared" si="2"/>
        <v>-2.895191503812472E-2</v>
      </c>
    </row>
    <row r="11" spans="1:33" x14ac:dyDescent="0.3">
      <c r="A11" s="2">
        <v>44105</v>
      </c>
      <c r="B11" s="4">
        <v>3269.9599609375</v>
      </c>
      <c r="C11" s="4">
        <v>3549.85009765625</v>
      </c>
      <c r="D11" s="4">
        <v>3233.93994140625</v>
      </c>
      <c r="E11" s="4">
        <v>3385.8701171875</v>
      </c>
      <c r="F11" s="1">
        <v>89938980000</v>
      </c>
      <c r="G11" s="3">
        <v>-2.7665786221379721E-2</v>
      </c>
      <c r="H11" s="2">
        <v>44105</v>
      </c>
      <c r="I11" s="6">
        <v>26.1079807281494</v>
      </c>
      <c r="J11" s="6">
        <v>28.587799156445602</v>
      </c>
      <c r="K11" s="6">
        <v>25.4604317374801</v>
      </c>
      <c r="L11" s="6">
        <v>27.160246358673</v>
      </c>
      <c r="M11" s="6">
        <v>555231707</v>
      </c>
      <c r="N11" s="3">
        <v>-3.3242428563547678E-2</v>
      </c>
      <c r="O11" s="2">
        <v>44105</v>
      </c>
      <c r="P11">
        <v>0.1</v>
      </c>
      <c r="Q11">
        <v>0.13</v>
      </c>
      <c r="R11">
        <v>0.19</v>
      </c>
      <c r="S11">
        <v>0.34</v>
      </c>
      <c r="T11">
        <v>0.79</v>
      </c>
      <c r="U11">
        <v>1.34</v>
      </c>
      <c r="V11">
        <v>1.57</v>
      </c>
      <c r="W11">
        <v>1.2060249020032709E-3</v>
      </c>
      <c r="X11">
        <v>1.546703790296582E-3</v>
      </c>
      <c r="Z11" s="8">
        <f t="shared" si="0"/>
        <v>1.0833333333333334E-4</v>
      </c>
      <c r="AA11">
        <v>8.3333333333333332E-3</v>
      </c>
      <c r="AB11">
        <v>1.0833333333333334E-2</v>
      </c>
      <c r="AC11">
        <v>1.5833333333333335E-2</v>
      </c>
      <c r="AD11" s="7">
        <f t="shared" si="1"/>
        <v>-2.7774119554713053E-2</v>
      </c>
      <c r="AE11" s="7">
        <f t="shared" si="2"/>
        <v>-3.3350761896881014E-2</v>
      </c>
    </row>
    <row r="12" spans="1:33" x14ac:dyDescent="0.3">
      <c r="A12" s="2">
        <v>44136</v>
      </c>
      <c r="B12" s="4">
        <v>3621.6298828125</v>
      </c>
      <c r="C12" s="5" t="s">
        <v>27</v>
      </c>
      <c r="D12" s="5" t="s">
        <v>28</v>
      </c>
      <c r="E12" s="5" t="s">
        <v>29</v>
      </c>
      <c r="F12" s="1">
        <v>101247180000</v>
      </c>
      <c r="G12" s="3">
        <v>0.10754563544385906</v>
      </c>
      <c r="H12" s="2">
        <v>44136</v>
      </c>
      <c r="I12" s="6">
        <v>29.7127265930175</v>
      </c>
      <c r="J12" s="6">
        <v>30.898373242963601</v>
      </c>
      <c r="K12" s="6">
        <v>26.152135695771801</v>
      </c>
      <c r="L12" s="6">
        <v>26.439116730331399</v>
      </c>
      <c r="M12" s="6">
        <v>1091575597</v>
      </c>
      <c r="N12" s="3">
        <v>0.13807064982936401</v>
      </c>
      <c r="O12" s="2">
        <v>44136</v>
      </c>
      <c r="P12">
        <v>0.09</v>
      </c>
      <c r="Q12">
        <v>0.12</v>
      </c>
      <c r="R12">
        <v>0.22</v>
      </c>
      <c r="S12">
        <v>0.39</v>
      </c>
      <c r="T12">
        <v>0.87</v>
      </c>
      <c r="U12">
        <v>1.4</v>
      </c>
      <c r="V12">
        <v>1.62</v>
      </c>
      <c r="W12">
        <v>1.8655519359137236E-2</v>
      </c>
      <c r="X12">
        <v>9.1936007908201816E-3</v>
      </c>
      <c r="Z12" s="8">
        <f t="shared" si="0"/>
        <v>1E-4</v>
      </c>
      <c r="AA12">
        <v>7.4999999999999997E-3</v>
      </c>
      <c r="AB12">
        <v>0.01</v>
      </c>
      <c r="AC12">
        <v>1.8333333333333333E-2</v>
      </c>
      <c r="AD12" s="7">
        <f t="shared" si="1"/>
        <v>0.10744563544385906</v>
      </c>
      <c r="AE12" s="7">
        <f t="shared" si="2"/>
        <v>0.13797064982936402</v>
      </c>
    </row>
    <row r="13" spans="1:33" x14ac:dyDescent="0.3">
      <c r="A13" s="2">
        <v>44166</v>
      </c>
      <c r="B13" s="5" t="s">
        <v>30</v>
      </c>
      <c r="C13" s="5" t="s">
        <v>31</v>
      </c>
      <c r="D13" s="4">
        <v>3633.39990234375</v>
      </c>
      <c r="E13" s="4">
        <v>3645.8701171875</v>
      </c>
      <c r="F13" s="1">
        <v>96375680000</v>
      </c>
      <c r="G13" s="3">
        <v>3.7121459093568634E-2</v>
      </c>
      <c r="H13" s="2">
        <v>44166</v>
      </c>
      <c r="I13" s="6">
        <v>28.842948913574201</v>
      </c>
      <c r="J13" s="6">
        <v>33.755888227469001</v>
      </c>
      <c r="K13" s="6">
        <v>28.4354958823663</v>
      </c>
      <c r="L13" s="6">
        <v>30.8723767674249</v>
      </c>
      <c r="M13" s="6">
        <v>1161346900</v>
      </c>
      <c r="N13" s="3">
        <v>-2.9272900173614395E-2</v>
      </c>
      <c r="O13" s="2">
        <v>44166</v>
      </c>
      <c r="P13">
        <v>0.09</v>
      </c>
      <c r="Q13">
        <v>0.1</v>
      </c>
      <c r="R13">
        <v>0.19</v>
      </c>
      <c r="S13">
        <v>0.39</v>
      </c>
      <c r="T13">
        <v>0.93</v>
      </c>
      <c r="U13">
        <v>1.47</v>
      </c>
      <c r="V13">
        <v>1.67</v>
      </c>
      <c r="W13">
        <v>9.4607553189558801E-4</v>
      </c>
      <c r="X13">
        <v>6.4816527021820179E-4</v>
      </c>
      <c r="Z13" s="8">
        <f t="shared" si="0"/>
        <v>8.3333333333333331E-5</v>
      </c>
      <c r="AA13">
        <v>7.4999999999999997E-3</v>
      </c>
      <c r="AB13">
        <v>8.3333333333333332E-3</v>
      </c>
      <c r="AC13">
        <v>1.5833333333333335E-2</v>
      </c>
      <c r="AD13" s="7">
        <f t="shared" si="1"/>
        <v>3.7038125760235303E-2</v>
      </c>
      <c r="AE13" s="7">
        <f t="shared" si="2"/>
        <v>-2.9356233506947729E-2</v>
      </c>
    </row>
    <row r="14" spans="1:33" x14ac:dyDescent="0.3">
      <c r="A14" s="2">
        <v>44197</v>
      </c>
      <c r="B14" s="5" t="s">
        <v>32</v>
      </c>
      <c r="C14" s="4">
        <v>3870.89990234375</v>
      </c>
      <c r="D14" s="4">
        <v>3662.7099609375</v>
      </c>
      <c r="E14" s="5" t="s">
        <v>33</v>
      </c>
      <c r="F14" s="1">
        <v>106117800000</v>
      </c>
      <c r="G14" s="3">
        <v>-1.1136660755445156E-2</v>
      </c>
      <c r="H14" s="2">
        <v>44197</v>
      </c>
      <c r="I14" s="6">
        <v>28.129909515380799</v>
      </c>
      <c r="J14" s="6">
        <v>29.642186162782</v>
      </c>
      <c r="K14" s="6">
        <v>27.910509869187202</v>
      </c>
      <c r="L14" s="6">
        <v>28.889963501490801</v>
      </c>
      <c r="M14" s="6">
        <v>689094500</v>
      </c>
      <c r="N14" s="3">
        <v>-2.4721445797029031E-2</v>
      </c>
      <c r="O14" s="2">
        <v>44197</v>
      </c>
      <c r="P14">
        <v>0.08</v>
      </c>
      <c r="Q14">
        <v>0.1</v>
      </c>
      <c r="R14">
        <v>0.2</v>
      </c>
      <c r="S14">
        <v>0.45</v>
      </c>
      <c r="T14">
        <v>1.08</v>
      </c>
      <c r="U14">
        <v>1.63</v>
      </c>
      <c r="V14">
        <v>1.82</v>
      </c>
      <c r="W14">
        <v>6.8680089867373384E-4</v>
      </c>
      <c r="X14">
        <v>5.1979575615467813E-4</v>
      </c>
      <c r="Z14" s="8">
        <f t="shared" si="0"/>
        <v>8.3333333333333331E-5</v>
      </c>
      <c r="AA14">
        <v>6.6666666666666671E-3</v>
      </c>
      <c r="AB14">
        <v>8.3333333333333332E-3</v>
      </c>
      <c r="AC14">
        <v>1.6666666666666666E-2</v>
      </c>
      <c r="AD14" s="7">
        <f t="shared" si="1"/>
        <v>-1.1219994088778489E-2</v>
      </c>
      <c r="AE14" s="7">
        <f t="shared" si="2"/>
        <v>-2.4804779130362366E-2</v>
      </c>
    </row>
    <row r="15" spans="1:33" x14ac:dyDescent="0.3">
      <c r="A15" s="2">
        <v>44228</v>
      </c>
      <c r="B15" s="4">
        <v>3811.14990234375</v>
      </c>
      <c r="C15" s="5" t="s">
        <v>34</v>
      </c>
      <c r="D15" s="4">
        <v>3725.6201171875</v>
      </c>
      <c r="E15" s="4">
        <v>3731.169921875</v>
      </c>
      <c r="F15" s="1">
        <v>99082320000</v>
      </c>
      <c r="G15" s="3">
        <v>2.6091451377449885E-2</v>
      </c>
      <c r="H15" s="2">
        <v>44228</v>
      </c>
      <c r="I15" s="6">
        <v>26.5269966125488</v>
      </c>
      <c r="J15" s="6">
        <v>28.665629228562199</v>
      </c>
      <c r="K15" s="6">
        <v>26.4240244500918</v>
      </c>
      <c r="L15" s="6">
        <v>28.4596879252205</v>
      </c>
      <c r="M15" s="6">
        <v>665243900</v>
      </c>
      <c r="N15" s="3">
        <v>-5.6982511868925945E-2</v>
      </c>
      <c r="O15" s="2">
        <v>44228</v>
      </c>
      <c r="P15">
        <v>0.04</v>
      </c>
      <c r="Q15">
        <v>7.0000000000000007E-2</v>
      </c>
      <c r="R15">
        <v>0.21</v>
      </c>
      <c r="S15">
        <v>0.54</v>
      </c>
      <c r="T15">
        <v>1.26</v>
      </c>
      <c r="U15">
        <v>1.88</v>
      </c>
      <c r="V15">
        <v>2.04</v>
      </c>
      <c r="W15">
        <v>3.4185014749373859E-3</v>
      </c>
      <c r="X15">
        <v>2.0819841928999307E-4</v>
      </c>
      <c r="Z15" s="8">
        <f t="shared" si="0"/>
        <v>5.8333333333333333E-5</v>
      </c>
      <c r="AA15">
        <v>3.3333333333333335E-3</v>
      </c>
      <c r="AB15">
        <v>5.8333333333333336E-3</v>
      </c>
      <c r="AC15">
        <v>1.7499999999999998E-2</v>
      </c>
      <c r="AD15" s="7">
        <f t="shared" si="1"/>
        <v>2.6033118044116552E-2</v>
      </c>
      <c r="AE15" s="7">
        <f t="shared" si="2"/>
        <v>-5.7040845202259279E-2</v>
      </c>
    </row>
    <row r="16" spans="1:33" x14ac:dyDescent="0.3">
      <c r="A16" s="2">
        <v>44256</v>
      </c>
      <c r="B16" s="5" t="s">
        <v>35</v>
      </c>
      <c r="C16" s="5" t="s">
        <v>36</v>
      </c>
      <c r="D16" s="5" t="s">
        <v>37</v>
      </c>
      <c r="E16" s="5" t="s">
        <v>38</v>
      </c>
      <c r="F16" s="1">
        <v>122371150000</v>
      </c>
      <c r="G16" s="3">
        <v>4.2438632533163927E-2</v>
      </c>
      <c r="H16" s="2">
        <v>44256</v>
      </c>
      <c r="I16" s="6">
        <v>28.697313308715799</v>
      </c>
      <c r="J16" s="6">
        <v>29.101279394182001</v>
      </c>
      <c r="K16" s="6">
        <v>26.4873897256047</v>
      </c>
      <c r="L16" s="6">
        <v>26.606203991111801</v>
      </c>
      <c r="M16" s="6">
        <v>675588700</v>
      </c>
      <c r="N16" s="3">
        <v>8.1815394628591845E-2</v>
      </c>
      <c r="O16" s="2">
        <v>44256</v>
      </c>
      <c r="P16">
        <v>0.03</v>
      </c>
      <c r="Q16">
        <v>0.08</v>
      </c>
      <c r="R16">
        <v>0.32</v>
      </c>
      <c r="S16">
        <v>0.82</v>
      </c>
      <c r="T16">
        <v>1.61</v>
      </c>
      <c r="U16">
        <v>2.2400000000000002</v>
      </c>
      <c r="V16">
        <v>2.34</v>
      </c>
      <c r="W16">
        <v>6.4529015018308803E-3</v>
      </c>
      <c r="X16">
        <v>9.4717839926982544E-4</v>
      </c>
      <c r="Z16" s="8">
        <f t="shared" si="0"/>
        <v>6.666666666666667E-5</v>
      </c>
      <c r="AA16">
        <v>2.5000000000000001E-3</v>
      </c>
      <c r="AB16">
        <v>6.6666666666666671E-3</v>
      </c>
      <c r="AC16">
        <v>2.6666666666666668E-2</v>
      </c>
      <c r="AD16" s="7">
        <f t="shared" si="1"/>
        <v>4.237196586649726E-2</v>
      </c>
      <c r="AE16" s="7">
        <f t="shared" si="2"/>
        <v>8.1748727961925172E-2</v>
      </c>
    </row>
    <row r="17" spans="1:31" x14ac:dyDescent="0.3">
      <c r="A17" s="2">
        <v>44287</v>
      </c>
      <c r="B17" s="4">
        <v>4181.169921875</v>
      </c>
      <c r="C17" s="4">
        <v>4218.77978515625</v>
      </c>
      <c r="D17" s="5" t="s">
        <v>39</v>
      </c>
      <c r="E17" s="5" t="s">
        <v>39</v>
      </c>
      <c r="F17" s="1">
        <v>83124090000</v>
      </c>
      <c r="G17" s="3">
        <v>5.2425321347559728E-2</v>
      </c>
      <c r="H17" s="2">
        <v>44287</v>
      </c>
      <c r="I17" s="6">
        <v>30.614160537719702</v>
      </c>
      <c r="J17" s="6">
        <v>31.4220865337345</v>
      </c>
      <c r="K17" s="6">
        <v>28.325026810438398</v>
      </c>
      <c r="L17" s="6">
        <v>28.752754470614502</v>
      </c>
      <c r="M17" s="6">
        <v>558679000</v>
      </c>
      <c r="N17" s="3">
        <v>6.6795354965223444E-2</v>
      </c>
      <c r="O17" s="2">
        <v>44287</v>
      </c>
      <c r="P17">
        <v>0.02</v>
      </c>
      <c r="Q17">
        <v>0.06</v>
      </c>
      <c r="R17">
        <v>0.35</v>
      </c>
      <c r="S17">
        <v>0.86</v>
      </c>
      <c r="T17">
        <v>1.64</v>
      </c>
      <c r="U17">
        <v>2.2000000000000002</v>
      </c>
      <c r="V17">
        <v>2.2999999999999998</v>
      </c>
      <c r="W17">
        <v>4.265384904307461E-3</v>
      </c>
      <c r="X17">
        <v>1.6616182870126739E-3</v>
      </c>
      <c r="Z17" s="8">
        <f t="shared" si="0"/>
        <v>5.0000000000000002E-5</v>
      </c>
      <c r="AA17">
        <v>1.6666666666666668E-3</v>
      </c>
      <c r="AB17">
        <v>5.0000000000000001E-3</v>
      </c>
      <c r="AC17">
        <v>2.9166666666666664E-2</v>
      </c>
      <c r="AD17" s="7">
        <f t="shared" si="1"/>
        <v>5.2375321347559727E-2</v>
      </c>
      <c r="AE17" s="7">
        <f t="shared" si="2"/>
        <v>6.674535496522345E-2</v>
      </c>
    </row>
    <row r="18" spans="1:31" x14ac:dyDescent="0.3">
      <c r="A18" s="2">
        <v>44317</v>
      </c>
      <c r="B18" s="4">
        <v>4204.10986328125</v>
      </c>
      <c r="C18" s="4">
        <v>4238.0400390625</v>
      </c>
      <c r="D18" s="4">
        <v>4056.8798828125</v>
      </c>
      <c r="E18" s="4">
        <v>4191.97998046875</v>
      </c>
      <c r="F18" s="1">
        <v>88321860000</v>
      </c>
      <c r="G18" s="3">
        <v>5.4864886706070138E-3</v>
      </c>
      <c r="H18" s="2">
        <v>44317</v>
      </c>
      <c r="I18" s="6">
        <v>30.677532196044901</v>
      </c>
      <c r="J18" s="6">
        <v>32.546858185264</v>
      </c>
      <c r="K18" s="6">
        <v>30.067624782845598</v>
      </c>
      <c r="L18" s="6">
        <v>30.923080278212598</v>
      </c>
      <c r="M18" s="6">
        <v>615262500</v>
      </c>
      <c r="N18" s="3">
        <v>2.0700113023552828E-3</v>
      </c>
      <c r="O18" s="2">
        <v>44317</v>
      </c>
      <c r="P18">
        <v>0.02</v>
      </c>
      <c r="Q18">
        <v>0.05</v>
      </c>
      <c r="R18">
        <v>0.32</v>
      </c>
      <c r="S18">
        <v>0.82</v>
      </c>
      <c r="T18">
        <v>1.62</v>
      </c>
      <c r="U18">
        <v>2.2200000000000002</v>
      </c>
      <c r="V18">
        <v>2.3199999999999998</v>
      </c>
      <c r="W18">
        <v>3.4172281578093755E-7</v>
      </c>
      <c r="X18">
        <v>3.8141497400089988E-5</v>
      </c>
      <c r="Z18" s="8">
        <f t="shared" si="0"/>
        <v>4.1666666666666665E-5</v>
      </c>
      <c r="AA18">
        <v>1.6666666666666668E-3</v>
      </c>
      <c r="AB18">
        <v>4.1666666666666666E-3</v>
      </c>
      <c r="AC18">
        <v>2.6666666666666668E-2</v>
      </c>
      <c r="AD18" s="7">
        <f t="shared" si="1"/>
        <v>5.4448220039403474E-3</v>
      </c>
      <c r="AE18" s="7">
        <f t="shared" si="2"/>
        <v>2.028344635688616E-3</v>
      </c>
    </row>
    <row r="19" spans="1:31" x14ac:dyDescent="0.3">
      <c r="A19" s="2">
        <v>44348</v>
      </c>
      <c r="B19" s="4">
        <v>4297.5</v>
      </c>
      <c r="C19" s="4">
        <v>4302.43017578125</v>
      </c>
      <c r="D19" s="4">
        <v>4164.39990234375</v>
      </c>
      <c r="E19" s="4">
        <v>4216.52001953125</v>
      </c>
      <c r="F19" s="1">
        <v>102544180000</v>
      </c>
      <c r="G19" s="3">
        <v>2.2214009565834771E-2</v>
      </c>
      <c r="H19" s="2">
        <v>44348</v>
      </c>
      <c r="I19" s="6">
        <v>31.323757171630799</v>
      </c>
      <c r="J19" s="6">
        <v>32.571589255256498</v>
      </c>
      <c r="K19" s="6">
        <v>30.7798306006666</v>
      </c>
      <c r="L19" s="6">
        <v>31.147780030629299</v>
      </c>
      <c r="M19" s="6">
        <v>485677900</v>
      </c>
      <c r="N19" s="3">
        <v>2.1065089964088211E-2</v>
      </c>
      <c r="O19" s="2">
        <v>44348</v>
      </c>
      <c r="P19">
        <v>0.04</v>
      </c>
      <c r="Q19">
        <v>7.0000000000000007E-2</v>
      </c>
      <c r="R19">
        <v>0.39</v>
      </c>
      <c r="S19">
        <v>0.84</v>
      </c>
      <c r="T19">
        <v>1.52</v>
      </c>
      <c r="U19">
        <v>2.09</v>
      </c>
      <c r="V19">
        <v>2.16</v>
      </c>
      <c r="W19">
        <v>3.8336266619708978E-4</v>
      </c>
      <c r="X19">
        <v>1.1133711938726371E-4</v>
      </c>
      <c r="Z19" s="8">
        <f t="shared" si="0"/>
        <v>5.8333333333333333E-5</v>
      </c>
      <c r="AA19">
        <v>3.3333333333333335E-3</v>
      </c>
      <c r="AB19">
        <v>5.8333333333333336E-3</v>
      </c>
      <c r="AC19">
        <v>3.2500000000000001E-2</v>
      </c>
      <c r="AD19" s="7">
        <f t="shared" si="1"/>
        <v>2.2155676232501437E-2</v>
      </c>
      <c r="AE19" s="7">
        <f t="shared" si="2"/>
        <v>2.1006756630754877E-2</v>
      </c>
    </row>
    <row r="20" spans="1:31" x14ac:dyDescent="0.3">
      <c r="A20" s="2">
        <v>44378</v>
      </c>
      <c r="B20" s="4">
        <v>4395.259765625</v>
      </c>
      <c r="C20" s="4">
        <v>4429.97021484375</v>
      </c>
      <c r="D20" s="4">
        <v>4233.1298828125</v>
      </c>
      <c r="E20" s="4">
        <v>4300.72998046875</v>
      </c>
      <c r="F20" s="1">
        <v>84255620000</v>
      </c>
      <c r="G20" s="3">
        <v>2.2748054828388597E-2</v>
      </c>
      <c r="H20" s="2">
        <v>44378</v>
      </c>
      <c r="I20" s="6">
        <v>34.243366241455</v>
      </c>
      <c r="J20" s="6">
        <v>34.987265798409197</v>
      </c>
      <c r="K20" s="6">
        <v>31.139785458213101</v>
      </c>
      <c r="L20" s="6">
        <v>31.3317577656785</v>
      </c>
      <c r="M20" s="6">
        <v>525510400</v>
      </c>
      <c r="N20" s="3">
        <v>9.3207499145997186E-2</v>
      </c>
      <c r="O20" s="2">
        <v>44378</v>
      </c>
      <c r="P20">
        <v>0.05</v>
      </c>
      <c r="Q20">
        <v>0.08</v>
      </c>
      <c r="R20">
        <v>0.4</v>
      </c>
      <c r="S20">
        <v>0.76</v>
      </c>
      <c r="T20">
        <v>1.32</v>
      </c>
      <c r="U20">
        <v>1.87</v>
      </c>
      <c r="V20">
        <v>1.94</v>
      </c>
      <c r="W20">
        <v>8.4129360097513328E-3</v>
      </c>
      <c r="X20">
        <v>1.2289243108072774E-4</v>
      </c>
      <c r="Z20" s="8">
        <f t="shared" si="0"/>
        <v>6.666666666666667E-5</v>
      </c>
      <c r="AA20">
        <v>4.1666666666666666E-3</v>
      </c>
      <c r="AB20">
        <v>6.6666666666666671E-3</v>
      </c>
      <c r="AC20">
        <v>3.3333333333333333E-2</v>
      </c>
      <c r="AD20" s="7">
        <f t="shared" si="1"/>
        <v>2.2681388161721931E-2</v>
      </c>
      <c r="AE20" s="7">
        <f t="shared" si="2"/>
        <v>9.3140832479330513E-2</v>
      </c>
    </row>
    <row r="21" spans="1:31" x14ac:dyDescent="0.3">
      <c r="A21" s="2">
        <v>44409</v>
      </c>
      <c r="B21" s="4">
        <v>4522.68017578125</v>
      </c>
      <c r="C21" s="4">
        <v>4537.35986328125</v>
      </c>
      <c r="D21" s="4">
        <v>4367.72998046875</v>
      </c>
      <c r="E21" s="4">
        <v>4406.85986328125</v>
      </c>
      <c r="F21" s="1">
        <v>80500760000</v>
      </c>
      <c r="G21" s="3">
        <v>2.8990416255438543E-2</v>
      </c>
      <c r="H21" s="2">
        <v>44409</v>
      </c>
      <c r="I21" s="6">
        <v>37.184776306152301</v>
      </c>
      <c r="J21" s="6">
        <v>41.8580971284333</v>
      </c>
      <c r="K21" s="6">
        <v>34.908651745047997</v>
      </c>
      <c r="L21" s="6">
        <v>34.949007952078396</v>
      </c>
      <c r="M21" s="6">
        <v>1008466500</v>
      </c>
      <c r="N21" s="3">
        <v>8.5897222952819152E-2</v>
      </c>
      <c r="O21" s="2">
        <v>44409</v>
      </c>
      <c r="P21">
        <v>0.05</v>
      </c>
      <c r="Q21">
        <v>7.0000000000000007E-2</v>
      </c>
      <c r="R21">
        <v>0.42</v>
      </c>
      <c r="S21">
        <v>0.77</v>
      </c>
      <c r="T21">
        <v>1.28</v>
      </c>
      <c r="U21">
        <v>1.83</v>
      </c>
      <c r="V21">
        <v>1.92</v>
      </c>
      <c r="W21">
        <v>7.1253489869445834E-3</v>
      </c>
      <c r="X21">
        <v>3.0026122292936395E-4</v>
      </c>
      <c r="Z21" s="8">
        <f t="shared" si="0"/>
        <v>5.8333333333333333E-5</v>
      </c>
      <c r="AA21">
        <v>4.1666666666666666E-3</v>
      </c>
      <c r="AB21">
        <v>5.8333333333333336E-3</v>
      </c>
      <c r="AC21">
        <v>3.4999999999999996E-2</v>
      </c>
      <c r="AD21" s="7">
        <f t="shared" si="1"/>
        <v>2.8932082922105209E-2</v>
      </c>
      <c r="AE21" s="7">
        <f t="shared" si="2"/>
        <v>8.5838889619485825E-2</v>
      </c>
    </row>
    <row r="22" spans="1:31" x14ac:dyDescent="0.3">
      <c r="A22" s="2">
        <v>44440</v>
      </c>
      <c r="B22" s="4">
        <v>4307.5400390625</v>
      </c>
      <c r="C22" s="4">
        <v>4545.85009765625</v>
      </c>
      <c r="D22" s="4">
        <v>4305.91015625</v>
      </c>
      <c r="E22" s="4">
        <v>4528.7998046875</v>
      </c>
      <c r="F22" s="1">
        <v>85528860000</v>
      </c>
      <c r="G22" s="3">
        <v>-4.7569168801901096E-2</v>
      </c>
      <c r="H22" s="2">
        <v>44440</v>
      </c>
      <c r="I22" s="6">
        <v>34.714927673339801</v>
      </c>
      <c r="J22" s="6">
        <v>38.338970677384999</v>
      </c>
      <c r="K22" s="6">
        <v>34.246790264033102</v>
      </c>
      <c r="L22" s="6">
        <v>37.281621114481098</v>
      </c>
      <c r="M22" s="6">
        <v>544666400</v>
      </c>
      <c r="N22" s="3">
        <v>-6.6420962505665482E-2</v>
      </c>
      <c r="O22" s="2">
        <v>44440</v>
      </c>
      <c r="P22">
        <v>0.04</v>
      </c>
      <c r="Q22">
        <v>0.08</v>
      </c>
      <c r="R22">
        <v>0.47</v>
      </c>
      <c r="S22">
        <v>0.86</v>
      </c>
      <c r="T22">
        <v>1.37</v>
      </c>
      <c r="U22">
        <v>1.87</v>
      </c>
      <c r="V22">
        <v>1.94</v>
      </c>
      <c r="W22">
        <v>4.6112795932354506E-3</v>
      </c>
      <c r="X22">
        <v>3.5083750661303453E-3</v>
      </c>
      <c r="Z22" s="8">
        <f t="shared" si="0"/>
        <v>6.666666666666667E-5</v>
      </c>
      <c r="AA22">
        <v>3.3333333333333335E-3</v>
      </c>
      <c r="AB22">
        <v>6.6666666666666671E-3</v>
      </c>
      <c r="AC22">
        <v>3.9166666666666662E-2</v>
      </c>
      <c r="AD22" s="7">
        <f t="shared" si="1"/>
        <v>-4.7635835468567762E-2</v>
      </c>
      <c r="AE22" s="7">
        <f t="shared" si="2"/>
        <v>-6.6487629172332155E-2</v>
      </c>
    </row>
    <row r="23" spans="1:31" x14ac:dyDescent="0.3">
      <c r="A23" s="2">
        <v>44470</v>
      </c>
      <c r="B23" s="4">
        <v>4605.3798828125</v>
      </c>
      <c r="C23" s="4">
        <v>4608.080078125</v>
      </c>
      <c r="D23" s="4">
        <v>4278.93994140625</v>
      </c>
      <c r="E23" s="4">
        <v>4317.16015625</v>
      </c>
      <c r="F23" s="1">
        <v>80253600000</v>
      </c>
      <c r="G23" s="3">
        <v>6.914383640060659E-2</v>
      </c>
      <c r="H23" s="2">
        <v>44470</v>
      </c>
      <c r="I23" s="6">
        <v>35.30415725708</v>
      </c>
      <c r="J23" s="6">
        <v>35.376799676334599</v>
      </c>
      <c r="K23" s="6">
        <v>33.044172248706602</v>
      </c>
      <c r="L23" s="6">
        <v>34.319449591402503</v>
      </c>
      <c r="M23" s="6">
        <v>471555700</v>
      </c>
      <c r="N23" s="3">
        <v>1.6973377829985009E-2</v>
      </c>
      <c r="O23" s="2">
        <v>44470</v>
      </c>
      <c r="P23">
        <v>0.05</v>
      </c>
      <c r="Q23">
        <v>0.11</v>
      </c>
      <c r="R23">
        <v>0.67</v>
      </c>
      <c r="S23">
        <v>1.1100000000000001</v>
      </c>
      <c r="T23">
        <v>1.58</v>
      </c>
      <c r="U23">
        <v>2.0299999999999998</v>
      </c>
      <c r="V23">
        <v>2.06</v>
      </c>
      <c r="W23">
        <v>2.3987619724826048E-4</v>
      </c>
      <c r="X23">
        <v>3.3041190986491881E-3</v>
      </c>
      <c r="Z23" s="8">
        <f t="shared" si="0"/>
        <v>9.1666666666666668E-5</v>
      </c>
      <c r="AA23">
        <v>4.1666666666666666E-3</v>
      </c>
      <c r="AB23">
        <v>9.1666666666666667E-3</v>
      </c>
      <c r="AC23">
        <v>5.5833333333333339E-2</v>
      </c>
      <c r="AD23" s="7">
        <f t="shared" si="1"/>
        <v>6.9052169733939919E-2</v>
      </c>
      <c r="AE23" s="7">
        <f t="shared" si="2"/>
        <v>1.6881711163318342E-2</v>
      </c>
    </row>
    <row r="24" spans="1:31" x14ac:dyDescent="0.3">
      <c r="A24" s="2">
        <v>44501</v>
      </c>
      <c r="B24" s="4">
        <v>4567</v>
      </c>
      <c r="C24" s="4">
        <v>4743.830078125</v>
      </c>
      <c r="D24" s="4">
        <v>4560</v>
      </c>
      <c r="E24" s="4">
        <v>4610.6201171875</v>
      </c>
      <c r="F24" s="1">
        <v>88268840000</v>
      </c>
      <c r="G24" s="3">
        <v>-8.3337061847461435E-3</v>
      </c>
      <c r="H24" s="2">
        <v>44501</v>
      </c>
      <c r="I24" s="6">
        <v>43.367439270019503</v>
      </c>
      <c r="J24" s="6">
        <v>44.957498995100003</v>
      </c>
      <c r="K24" s="6">
        <v>34.747222099267198</v>
      </c>
      <c r="L24" s="6">
        <v>35.627000916024997</v>
      </c>
      <c r="M24" s="6">
        <v>1010245500</v>
      </c>
      <c r="N24" s="3">
        <v>0.22839468888107983</v>
      </c>
      <c r="O24" s="2">
        <v>44501</v>
      </c>
      <c r="P24">
        <v>0.05</v>
      </c>
      <c r="Q24">
        <v>0.18</v>
      </c>
      <c r="R24">
        <v>0.82</v>
      </c>
      <c r="S24">
        <v>1.2</v>
      </c>
      <c r="T24">
        <v>1.56</v>
      </c>
      <c r="U24">
        <v>1.97</v>
      </c>
      <c r="V24">
        <v>1.94</v>
      </c>
      <c r="W24">
        <v>5.1487806920444704E-2</v>
      </c>
      <c r="X24">
        <v>3.9984302136003444E-4</v>
      </c>
      <c r="Z24" s="8">
        <f t="shared" si="0"/>
        <v>1.4999999999999999E-4</v>
      </c>
      <c r="AA24">
        <v>4.1666666666666666E-3</v>
      </c>
      <c r="AB24">
        <v>1.4999999999999999E-2</v>
      </c>
      <c r="AC24">
        <v>6.8333333333333329E-2</v>
      </c>
      <c r="AD24" s="7">
        <f t="shared" si="1"/>
        <v>-8.4837061847461443E-3</v>
      </c>
      <c r="AE24" s="7">
        <f t="shared" si="2"/>
        <v>0.22824468888107982</v>
      </c>
    </row>
    <row r="25" spans="1:31" x14ac:dyDescent="0.3">
      <c r="A25" s="2">
        <v>44531</v>
      </c>
      <c r="B25" s="4">
        <v>4766.18017578125</v>
      </c>
      <c r="C25" s="4">
        <v>4808.93017578125</v>
      </c>
      <c r="D25" s="4">
        <v>4495.1201171875</v>
      </c>
      <c r="E25" s="4">
        <v>4602.81982421875</v>
      </c>
      <c r="F25" s="1">
        <v>92750180000</v>
      </c>
      <c r="G25" s="3">
        <v>4.3612913462064813E-2</v>
      </c>
      <c r="H25" s="2">
        <v>44531</v>
      </c>
      <c r="I25" s="6">
        <v>48.079776763916001</v>
      </c>
      <c r="J25" s="6">
        <v>50.245605731028903</v>
      </c>
      <c r="K25" s="6">
        <v>41.0367629733082</v>
      </c>
      <c r="L25" s="6">
        <v>42.7222011530611</v>
      </c>
      <c r="M25" s="6">
        <v>1064029400</v>
      </c>
      <c r="N25" s="3">
        <v>0.10866072733868336</v>
      </c>
      <c r="O25" s="2">
        <v>44531</v>
      </c>
      <c r="P25">
        <v>0.06</v>
      </c>
      <c r="Q25">
        <v>0.3</v>
      </c>
      <c r="R25">
        <v>0.95</v>
      </c>
      <c r="S25">
        <v>1.23</v>
      </c>
      <c r="T25">
        <v>1.47</v>
      </c>
      <c r="U25">
        <v>1.9</v>
      </c>
      <c r="V25">
        <v>1.85</v>
      </c>
      <c r="W25">
        <v>1.1486542070968659E-2</v>
      </c>
      <c r="X25">
        <v>1.0208372937136618E-3</v>
      </c>
      <c r="Z25" s="8">
        <f t="shared" si="0"/>
        <v>2.5000000000000001E-4</v>
      </c>
      <c r="AA25">
        <v>5.0000000000000001E-3</v>
      </c>
      <c r="AB25">
        <v>2.4999999999999998E-2</v>
      </c>
      <c r="AC25">
        <v>7.9166666666666663E-2</v>
      </c>
      <c r="AD25" s="7">
        <f t="shared" si="1"/>
        <v>4.3362913462064813E-2</v>
      </c>
      <c r="AE25" s="7">
        <f t="shared" si="2"/>
        <v>0.10841072733868336</v>
      </c>
    </row>
    <row r="26" spans="1:31" x14ac:dyDescent="0.3">
      <c r="A26" s="2">
        <v>44562</v>
      </c>
      <c r="B26" s="4">
        <v>4515.5498046875</v>
      </c>
      <c r="C26" s="4">
        <v>4818.6201171875</v>
      </c>
      <c r="D26" s="4">
        <v>4222.6201171875</v>
      </c>
      <c r="E26" s="4">
        <v>4778.14013671875</v>
      </c>
      <c r="F26" s="1">
        <v>95562890000</v>
      </c>
      <c r="G26" s="3">
        <v>-5.258516502739384E-2</v>
      </c>
      <c r="H26" s="2">
        <v>44562</v>
      </c>
      <c r="I26" s="6">
        <v>42.901317596435497</v>
      </c>
      <c r="J26" s="6">
        <v>47.672654735407498</v>
      </c>
      <c r="K26" s="6">
        <v>40.564503421310299</v>
      </c>
      <c r="L26" s="6">
        <v>47.6319442931106</v>
      </c>
      <c r="M26" s="6">
        <v>778212000</v>
      </c>
      <c r="N26" s="3">
        <v>-0.10770555763825741</v>
      </c>
      <c r="O26" s="2">
        <v>44562</v>
      </c>
      <c r="P26">
        <v>0.15</v>
      </c>
      <c r="Q26">
        <v>0.55000000000000004</v>
      </c>
      <c r="R26">
        <v>1.25</v>
      </c>
      <c r="S26">
        <v>1.54</v>
      </c>
      <c r="T26">
        <v>1.76</v>
      </c>
      <c r="U26">
        <v>2.15</v>
      </c>
      <c r="V26">
        <v>2.1</v>
      </c>
      <c r="W26">
        <v>1.1922674113128744E-2</v>
      </c>
      <c r="X26">
        <v>4.1277456239937216E-3</v>
      </c>
      <c r="Z26" s="8">
        <f t="shared" si="0"/>
        <v>4.5833333333333338E-4</v>
      </c>
      <c r="AA26">
        <v>1.2499999999999999E-2</v>
      </c>
      <c r="AB26">
        <v>4.5833333333333337E-2</v>
      </c>
      <c r="AC26">
        <v>0.10416666666666667</v>
      </c>
      <c r="AD26" s="7">
        <f t="shared" si="1"/>
        <v>-5.3043498360727172E-2</v>
      </c>
      <c r="AE26" s="7">
        <f t="shared" si="2"/>
        <v>-0.10816389097159075</v>
      </c>
    </row>
    <row r="27" spans="1:31" x14ac:dyDescent="0.3">
      <c r="A27" s="2">
        <v>44593</v>
      </c>
      <c r="B27" s="4">
        <v>4373.93994140625</v>
      </c>
      <c r="C27" s="4">
        <v>4595.31005859375</v>
      </c>
      <c r="D27" s="4">
        <v>4114.64990234375</v>
      </c>
      <c r="E27" s="4">
        <v>4519.56982421875</v>
      </c>
      <c r="F27" s="1">
        <v>92667710000</v>
      </c>
      <c r="G27" s="3">
        <v>-3.1360491945908266E-2</v>
      </c>
      <c r="H27" s="2">
        <v>44593</v>
      </c>
      <c r="I27" s="6">
        <v>38.510139465332003</v>
      </c>
      <c r="J27" s="6">
        <v>44.408903949255098</v>
      </c>
      <c r="K27" s="6">
        <v>37.246707320802102</v>
      </c>
      <c r="L27" s="6">
        <v>43.268531731143703</v>
      </c>
      <c r="M27" s="6">
        <v>634804800</v>
      </c>
      <c r="N27" s="3">
        <v>-0.10235532093467312</v>
      </c>
      <c r="O27" s="2">
        <v>44593</v>
      </c>
      <c r="P27">
        <v>0.33</v>
      </c>
      <c r="Q27">
        <v>1</v>
      </c>
      <c r="R27">
        <v>1.65</v>
      </c>
      <c r="S27">
        <v>1.81</v>
      </c>
      <c r="T27">
        <v>1.93</v>
      </c>
      <c r="U27">
        <v>2.31</v>
      </c>
      <c r="V27">
        <v>2.25</v>
      </c>
      <c r="W27">
        <v>1.0782903772136258E-2</v>
      </c>
      <c r="X27">
        <v>1.8509665608856442E-3</v>
      </c>
      <c r="Z27" s="8">
        <f t="shared" si="0"/>
        <v>8.3333333333333328E-4</v>
      </c>
      <c r="AA27">
        <v>2.75E-2</v>
      </c>
      <c r="AB27">
        <v>8.3333333333333329E-2</v>
      </c>
      <c r="AC27">
        <v>0.13749999999999998</v>
      </c>
      <c r="AD27" s="7">
        <f t="shared" si="1"/>
        <v>-3.2193825279241597E-2</v>
      </c>
      <c r="AE27" s="7">
        <f t="shared" si="2"/>
        <v>-0.10318865426800646</v>
      </c>
    </row>
    <row r="28" spans="1:31" x14ac:dyDescent="0.3">
      <c r="A28" s="2">
        <v>44621</v>
      </c>
      <c r="B28" s="4">
        <v>4530.41015625</v>
      </c>
      <c r="C28" s="4">
        <v>4637.2998046875</v>
      </c>
      <c r="D28" s="4">
        <v>4157.8701171875</v>
      </c>
      <c r="E28" s="4">
        <v>4363.14013671875</v>
      </c>
      <c r="F28" s="1">
        <v>123546260000</v>
      </c>
      <c r="G28" s="3">
        <v>3.5773288371546273E-2</v>
      </c>
      <c r="H28" s="2">
        <v>44621</v>
      </c>
      <c r="I28" s="6">
        <v>42.472732543945298</v>
      </c>
      <c r="J28" s="6">
        <v>45.368786102141598</v>
      </c>
      <c r="K28" s="6">
        <v>37.279522723667</v>
      </c>
      <c r="L28" s="6">
        <v>38.305037794373703</v>
      </c>
      <c r="M28" s="6">
        <v>718106000</v>
      </c>
      <c r="N28" s="3">
        <v>0.1028973962086152</v>
      </c>
      <c r="O28" s="2">
        <v>44621</v>
      </c>
      <c r="P28">
        <v>0.44</v>
      </c>
      <c r="Q28">
        <v>1.34</v>
      </c>
      <c r="R28">
        <v>2.09</v>
      </c>
      <c r="S28">
        <v>2.11</v>
      </c>
      <c r="T28">
        <v>2.13</v>
      </c>
      <c r="U28">
        <v>2.5099999999999998</v>
      </c>
      <c r="V28">
        <v>2.41</v>
      </c>
      <c r="W28">
        <v>1.0284384724703392E-2</v>
      </c>
      <c r="X28">
        <v>5.8133643467028068E-4</v>
      </c>
      <c r="Z28" s="8">
        <f t="shared" si="0"/>
        <v>1.1166666666666668E-3</v>
      </c>
      <c r="AA28">
        <v>3.6666666666666667E-2</v>
      </c>
      <c r="AB28">
        <v>0.11166666666666668</v>
      </c>
      <c r="AC28">
        <v>0.17416666666666666</v>
      </c>
      <c r="AD28" s="7">
        <f t="shared" si="1"/>
        <v>3.4656621704879605E-2</v>
      </c>
      <c r="AE28" s="7">
        <f t="shared" si="2"/>
        <v>0.10178072954194853</v>
      </c>
    </row>
    <row r="29" spans="1:31" x14ac:dyDescent="0.3">
      <c r="A29" s="2">
        <v>44652</v>
      </c>
      <c r="B29" s="4">
        <v>4131.93017578125</v>
      </c>
      <c r="C29" s="4">
        <v>4593.4501953125</v>
      </c>
      <c r="D29" s="4">
        <v>4124.27978515625</v>
      </c>
      <c r="E29" s="4">
        <v>4540.31982421875</v>
      </c>
      <c r="F29" s="1">
        <v>90367840000</v>
      </c>
      <c r="G29" s="3">
        <v>-8.7956711804343043E-2</v>
      </c>
      <c r="H29" s="2">
        <v>44652</v>
      </c>
      <c r="I29" s="6">
        <v>40.257614135742102</v>
      </c>
      <c r="J29" s="6">
        <v>46.205600773184798</v>
      </c>
      <c r="K29" s="6">
        <v>38.657810207332901</v>
      </c>
      <c r="L29" s="6">
        <v>42.759869957293397</v>
      </c>
      <c r="M29" s="6">
        <v>482896600</v>
      </c>
      <c r="N29" s="3">
        <v>-5.2153894405340594E-2</v>
      </c>
      <c r="O29" s="2">
        <v>44652</v>
      </c>
      <c r="P29">
        <v>0.76</v>
      </c>
      <c r="Q29">
        <v>1.89</v>
      </c>
      <c r="R29">
        <v>2.72</v>
      </c>
      <c r="S29">
        <v>2.78</v>
      </c>
      <c r="T29">
        <v>2.75</v>
      </c>
      <c r="U29">
        <v>2.99</v>
      </c>
      <c r="V29">
        <v>2.81</v>
      </c>
      <c r="W29">
        <v>2.8771782680983089E-3</v>
      </c>
      <c r="X29">
        <v>9.9239612531582082E-3</v>
      </c>
      <c r="Z29" s="8">
        <f t="shared" si="0"/>
        <v>1.575E-3</v>
      </c>
      <c r="AA29">
        <v>6.3333333333333339E-2</v>
      </c>
      <c r="AB29">
        <v>0.1575</v>
      </c>
      <c r="AC29">
        <v>0.22666666666666668</v>
      </c>
      <c r="AD29" s="7">
        <f t="shared" si="1"/>
        <v>-8.953171180434305E-2</v>
      </c>
      <c r="AE29" s="7">
        <f t="shared" si="2"/>
        <v>-5.3728894405340594E-2</v>
      </c>
    </row>
    <row r="30" spans="1:31" x14ac:dyDescent="0.3">
      <c r="A30" s="2">
        <v>44682</v>
      </c>
      <c r="B30" s="4">
        <v>4132.14990234375</v>
      </c>
      <c r="C30" s="4">
        <v>4307.66015625</v>
      </c>
      <c r="D30" s="5" t="s">
        <v>40</v>
      </c>
      <c r="E30" s="4">
        <v>4130.60986328125</v>
      </c>
      <c r="F30" s="1">
        <v>108860390000</v>
      </c>
      <c r="G30" s="3">
        <v>5.3177704644647078E-5</v>
      </c>
      <c r="H30" s="2">
        <v>44682</v>
      </c>
      <c r="I30" s="6">
        <v>43.514656066894503</v>
      </c>
      <c r="J30" s="6">
        <v>45.057028474079701</v>
      </c>
      <c r="K30" s="6">
        <v>38.936755306340302</v>
      </c>
      <c r="L30" s="6">
        <v>39.117246959582197</v>
      </c>
      <c r="M30" s="6">
        <v>583220400</v>
      </c>
      <c r="N30" s="3">
        <v>8.0904991541977306E-2</v>
      </c>
      <c r="O30" s="2">
        <v>44682</v>
      </c>
      <c r="P30">
        <v>0.98</v>
      </c>
      <c r="Q30">
        <v>2.06</v>
      </c>
      <c r="R30">
        <v>2.79</v>
      </c>
      <c r="S30">
        <v>2.87</v>
      </c>
      <c r="T30">
        <v>2.9</v>
      </c>
      <c r="U30">
        <v>3.26</v>
      </c>
      <c r="V30">
        <v>3.07</v>
      </c>
      <c r="W30">
        <v>6.3074650595611164E-3</v>
      </c>
      <c r="X30">
        <v>1.3477332169962015E-4</v>
      </c>
      <c r="Z30" s="8">
        <f t="shared" si="0"/>
        <v>1.7166666666666667E-3</v>
      </c>
      <c r="AA30">
        <v>8.1666666666666665E-2</v>
      </c>
      <c r="AB30">
        <v>0.17166666666666666</v>
      </c>
      <c r="AC30">
        <v>0.23250000000000001</v>
      </c>
      <c r="AD30" s="7">
        <f t="shared" si="1"/>
        <v>-1.6634889620220196E-3</v>
      </c>
      <c r="AE30" s="7">
        <f t="shared" si="2"/>
        <v>7.9188324875310634E-2</v>
      </c>
    </row>
    <row r="31" spans="1:31" x14ac:dyDescent="0.3">
      <c r="A31" s="2">
        <v>44713</v>
      </c>
      <c r="B31" s="4">
        <v>3785.3798828125</v>
      </c>
      <c r="C31" s="4">
        <v>4177.509765625</v>
      </c>
      <c r="D31" s="4">
        <v>3636.8701171875</v>
      </c>
      <c r="E31" s="4">
        <v>4149.77978515625</v>
      </c>
      <c r="F31" s="1">
        <v>106116710000</v>
      </c>
      <c r="G31" s="3">
        <v>-8.3919999933826817E-2</v>
      </c>
      <c r="H31" s="2">
        <v>44713</v>
      </c>
      <c r="I31" s="6">
        <v>43.364982604980398</v>
      </c>
      <c r="J31" s="6">
        <v>45.1267117434464</v>
      </c>
      <c r="K31" s="6">
        <v>38.278301169962099</v>
      </c>
      <c r="L31" s="6">
        <v>44.043206375630099</v>
      </c>
      <c r="M31" s="6">
        <v>449186100</v>
      </c>
      <c r="N31" s="3">
        <v>-3.4396103621734736E-3</v>
      </c>
      <c r="O31" s="2">
        <v>44713</v>
      </c>
      <c r="P31">
        <v>1.49</v>
      </c>
      <c r="Q31">
        <v>2.65</v>
      </c>
      <c r="R31">
        <v>3.15</v>
      </c>
      <c r="S31">
        <v>3.19</v>
      </c>
      <c r="T31">
        <v>3.14</v>
      </c>
      <c r="U31">
        <v>3.48</v>
      </c>
      <c r="V31">
        <v>3.25</v>
      </c>
      <c r="W31">
        <v>2.4256127740547475E-5</v>
      </c>
      <c r="X31">
        <v>9.1359892441476472E-3</v>
      </c>
      <c r="Z31" s="8">
        <f t="shared" si="0"/>
        <v>2.2083333333333334E-3</v>
      </c>
      <c r="AA31">
        <v>0.12416666666666666</v>
      </c>
      <c r="AB31">
        <v>0.22083333333333333</v>
      </c>
      <c r="AC31">
        <v>0.26250000000000001</v>
      </c>
      <c r="AD31" s="7">
        <f t="shared" si="1"/>
        <v>-8.6128333267160156E-2</v>
      </c>
      <c r="AE31" s="7">
        <f t="shared" si="2"/>
        <v>-5.6479436955068074E-3</v>
      </c>
    </row>
    <row r="32" spans="1:31" x14ac:dyDescent="0.3">
      <c r="A32" s="2">
        <v>44743</v>
      </c>
      <c r="B32" s="4">
        <v>4130.2900390625</v>
      </c>
      <c r="C32" s="4">
        <v>4140.14990234375</v>
      </c>
      <c r="D32" s="4">
        <v>3721.56005859375</v>
      </c>
      <c r="E32" s="4">
        <v>3781</v>
      </c>
      <c r="F32" s="1">
        <v>81688320000</v>
      </c>
      <c r="G32" s="3">
        <v>9.1116391730209953E-2</v>
      </c>
      <c r="H32" s="2">
        <v>44743</v>
      </c>
      <c r="I32" s="6">
        <v>41.776943206787102</v>
      </c>
      <c r="J32" s="6">
        <v>44.5973624246542</v>
      </c>
      <c r="K32" s="6">
        <v>40.610728882804402</v>
      </c>
      <c r="L32" s="6">
        <v>43.042412096107597</v>
      </c>
      <c r="M32" s="6">
        <v>340227500</v>
      </c>
      <c r="N32" s="3">
        <v>-3.662031673479587E-2</v>
      </c>
      <c r="O32" s="2">
        <v>44743</v>
      </c>
      <c r="P32">
        <v>2.23</v>
      </c>
      <c r="Q32">
        <v>3.02</v>
      </c>
      <c r="R32">
        <v>3.03</v>
      </c>
      <c r="S32">
        <v>2.96</v>
      </c>
      <c r="T32">
        <v>2.9</v>
      </c>
      <c r="U32">
        <v>3.35</v>
      </c>
      <c r="V32">
        <v>3.1</v>
      </c>
      <c r="W32">
        <v>1.4520487479427583E-3</v>
      </c>
      <c r="X32">
        <v>6.3129417337106355E-3</v>
      </c>
      <c r="Z32" s="8">
        <f t="shared" si="0"/>
        <v>2.5166666666666666E-3</v>
      </c>
      <c r="AA32">
        <v>0.18583333333333332</v>
      </c>
      <c r="AB32">
        <v>0.25166666666666665</v>
      </c>
      <c r="AC32">
        <v>0.2525</v>
      </c>
      <c r="AD32" s="7">
        <f t="shared" si="1"/>
        <v>8.8599725063543286E-2</v>
      </c>
      <c r="AE32" s="7">
        <f t="shared" si="2"/>
        <v>-3.9136983401462537E-2</v>
      </c>
    </row>
    <row r="33" spans="1:31" x14ac:dyDescent="0.3">
      <c r="A33" s="2">
        <v>44774</v>
      </c>
      <c r="B33" s="4">
        <v>3955</v>
      </c>
      <c r="C33" s="4">
        <v>4325.27978515625</v>
      </c>
      <c r="D33" s="5" t="s">
        <v>41</v>
      </c>
      <c r="E33" s="4">
        <v>4112.3798828125</v>
      </c>
      <c r="F33" s="1">
        <v>92252350000</v>
      </c>
      <c r="G33" s="3">
        <v>-4.2440128272998381E-2</v>
      </c>
      <c r="H33" s="2">
        <v>44774</v>
      </c>
      <c r="I33" s="6">
        <v>37.700122833251903</v>
      </c>
      <c r="J33" s="6">
        <v>42.901290910607699</v>
      </c>
      <c r="K33" s="6">
        <v>37.616772075001698</v>
      </c>
      <c r="L33" s="6">
        <v>41.942741292591997</v>
      </c>
      <c r="M33" s="6">
        <v>411896600</v>
      </c>
      <c r="N33" s="3">
        <v>-9.7585415796359098E-2</v>
      </c>
      <c r="O33" s="2">
        <v>44774</v>
      </c>
      <c r="P33">
        <v>2.63</v>
      </c>
      <c r="Q33">
        <v>3.28</v>
      </c>
      <c r="R33">
        <v>3.23</v>
      </c>
      <c r="S33">
        <v>3.03</v>
      </c>
      <c r="T33">
        <v>2.9</v>
      </c>
      <c r="U33">
        <v>3.35</v>
      </c>
      <c r="V33">
        <v>3.13</v>
      </c>
      <c r="W33">
        <v>9.815034602406833E-3</v>
      </c>
      <c r="X33">
        <v>2.9270802072949246E-3</v>
      </c>
      <c r="Z33" s="8">
        <f t="shared" si="0"/>
        <v>2.7333333333333333E-3</v>
      </c>
      <c r="AA33">
        <v>0.21916666666666665</v>
      </c>
      <c r="AB33">
        <v>0.27333333333333332</v>
      </c>
      <c r="AC33">
        <v>0.26916666666666667</v>
      </c>
      <c r="AD33" s="7">
        <f t="shared" si="1"/>
        <v>-4.5173461606331712E-2</v>
      </c>
      <c r="AE33" s="7">
        <f t="shared" si="2"/>
        <v>-0.10031874912969244</v>
      </c>
    </row>
    <row r="34" spans="1:31" x14ac:dyDescent="0.3">
      <c r="A34" s="2">
        <v>44805</v>
      </c>
      <c r="B34" s="4">
        <v>3585.6201171875</v>
      </c>
      <c r="C34" s="4">
        <v>4119.27978515625</v>
      </c>
      <c r="D34" s="4">
        <v>3584.1298828125</v>
      </c>
      <c r="E34" s="4">
        <v>3936.72998046875</v>
      </c>
      <c r="F34" s="1">
        <v>94241020000</v>
      </c>
      <c r="G34" s="3">
        <v>-9.3395672013274339E-2</v>
      </c>
      <c r="H34" s="2">
        <v>44805</v>
      </c>
      <c r="I34" s="6">
        <v>36.474845886230398</v>
      </c>
      <c r="J34" s="6">
        <v>40.300704081042902</v>
      </c>
      <c r="K34" s="6">
        <v>36.274802800540698</v>
      </c>
      <c r="L34" s="6">
        <v>37.625104757642802</v>
      </c>
      <c r="M34" s="6">
        <v>376670300</v>
      </c>
      <c r="N34" s="3">
        <v>-3.2500608882388003E-2</v>
      </c>
      <c r="O34" s="2">
        <v>44805</v>
      </c>
      <c r="P34">
        <v>3.13</v>
      </c>
      <c r="Q34">
        <v>3.89</v>
      </c>
      <c r="R34">
        <v>3.88</v>
      </c>
      <c r="S34">
        <v>3.7</v>
      </c>
      <c r="T34">
        <v>3.52</v>
      </c>
      <c r="U34">
        <v>3.82</v>
      </c>
      <c r="V34">
        <v>3.56</v>
      </c>
      <c r="W34">
        <v>1.1550515646675569E-3</v>
      </c>
      <c r="X34">
        <v>1.1037191974012766E-2</v>
      </c>
      <c r="Z34" s="8">
        <f t="shared" si="0"/>
        <v>3.2416666666666666E-3</v>
      </c>
      <c r="AA34">
        <v>0.26083333333333331</v>
      </c>
      <c r="AB34">
        <v>0.32416666666666666</v>
      </c>
      <c r="AC34">
        <v>0.32333333333333331</v>
      </c>
      <c r="AD34" s="7">
        <f t="shared" si="1"/>
        <v>-9.6637338679941009E-2</v>
      </c>
      <c r="AE34" s="7">
        <f t="shared" si="2"/>
        <v>-3.5742275549054667E-2</v>
      </c>
    </row>
    <row r="35" spans="1:31" x14ac:dyDescent="0.3">
      <c r="A35" s="2">
        <v>44835</v>
      </c>
      <c r="B35" s="4">
        <v>3871.97998046875</v>
      </c>
      <c r="C35" s="4">
        <v>3905.419921875</v>
      </c>
      <c r="D35" s="4">
        <v>3491.580078125</v>
      </c>
      <c r="E35" s="5" t="s">
        <v>42</v>
      </c>
      <c r="F35" s="1">
        <v>95823760000</v>
      </c>
      <c r="G35" s="3">
        <v>7.9863413837008998E-2</v>
      </c>
      <c r="H35" s="2">
        <v>44835</v>
      </c>
      <c r="I35" s="6">
        <v>38.800376892089801</v>
      </c>
      <c r="J35" s="6">
        <v>39.608892758167499</v>
      </c>
      <c r="K35" s="6">
        <v>34.549423805339998</v>
      </c>
      <c r="L35" s="6">
        <v>36.7332465267176</v>
      </c>
      <c r="M35" s="6">
        <v>466825100</v>
      </c>
      <c r="N35" s="3">
        <v>6.3757116702097258E-2</v>
      </c>
      <c r="O35" s="2">
        <v>44835</v>
      </c>
      <c r="P35">
        <v>3.72</v>
      </c>
      <c r="Q35">
        <v>4.43</v>
      </c>
      <c r="R35">
        <v>4.38</v>
      </c>
      <c r="S35">
        <v>4.18</v>
      </c>
      <c r="T35">
        <v>3.98</v>
      </c>
      <c r="U35">
        <v>4.28</v>
      </c>
      <c r="V35">
        <v>4.04</v>
      </c>
      <c r="W35">
        <v>3.8777616349483257E-3</v>
      </c>
      <c r="X35">
        <v>4.6513825217506391E-3</v>
      </c>
      <c r="Z35" s="8">
        <f t="shared" si="0"/>
        <v>3.6916666666666664E-3</v>
      </c>
      <c r="AA35">
        <v>0.31</v>
      </c>
      <c r="AB35">
        <v>0.36916666666666664</v>
      </c>
      <c r="AC35">
        <v>0.36499999999999999</v>
      </c>
      <c r="AD35" s="7">
        <f t="shared" si="1"/>
        <v>7.6171747170342335E-2</v>
      </c>
      <c r="AE35" s="7">
        <f t="shared" si="2"/>
        <v>6.0065450035430588E-2</v>
      </c>
    </row>
    <row r="36" spans="1:31" x14ac:dyDescent="0.3">
      <c r="A36" s="2">
        <v>44866</v>
      </c>
      <c r="B36" s="5" t="s">
        <v>43</v>
      </c>
      <c r="C36" s="5" t="s">
        <v>43</v>
      </c>
      <c r="D36" s="4">
        <v>3698.14990234375</v>
      </c>
      <c r="E36" s="4">
        <v>3901.7900390625</v>
      </c>
      <c r="F36" s="1">
        <v>92671910000</v>
      </c>
      <c r="G36" s="3">
        <v>5.3752893352491796E-2</v>
      </c>
      <c r="H36" s="2">
        <v>44866</v>
      </c>
      <c r="I36" s="6">
        <v>41.784370422363203</v>
      </c>
      <c r="J36" s="6">
        <v>41.784370422363203</v>
      </c>
      <c r="K36" s="6">
        <v>38.475294059933198</v>
      </c>
      <c r="L36" s="6">
        <v>40.0089714250797</v>
      </c>
      <c r="M36" s="6">
        <v>419484600</v>
      </c>
      <c r="N36" s="3">
        <v>7.6906302703511786E-2</v>
      </c>
      <c r="O36" s="2">
        <v>44866</v>
      </c>
      <c r="P36">
        <v>4.1500000000000004</v>
      </c>
      <c r="Q36">
        <v>4.7300000000000004</v>
      </c>
      <c r="R36">
        <v>4.34</v>
      </c>
      <c r="S36">
        <v>4.0599999999999996</v>
      </c>
      <c r="T36">
        <v>3.89</v>
      </c>
      <c r="U36">
        <v>4.22</v>
      </c>
      <c r="V36">
        <v>4</v>
      </c>
      <c r="W36">
        <v>5.6883064287902184E-3</v>
      </c>
      <c r="X36">
        <v>1.7716122432861585E-3</v>
      </c>
      <c r="Z36" s="8">
        <f t="shared" si="0"/>
        <v>3.9416666666666671E-3</v>
      </c>
      <c r="AA36">
        <v>0.34583333333333338</v>
      </c>
      <c r="AB36">
        <v>0.39416666666666672</v>
      </c>
      <c r="AC36">
        <v>0.36166666666666664</v>
      </c>
      <c r="AD36" s="7">
        <f t="shared" si="1"/>
        <v>4.9811226685825126E-2</v>
      </c>
      <c r="AE36" s="7">
        <f t="shared" si="2"/>
        <v>7.2964636036845124E-2</v>
      </c>
    </row>
    <row r="37" spans="1:31" x14ac:dyDescent="0.3">
      <c r="A37" s="2">
        <v>44896</v>
      </c>
      <c r="B37" s="4">
        <v>3839.5</v>
      </c>
      <c r="C37" s="4">
        <v>4100.9599609375</v>
      </c>
      <c r="D37" s="5" t="s">
        <v>44</v>
      </c>
      <c r="E37" s="5" t="s">
        <v>45</v>
      </c>
      <c r="F37" s="1">
        <v>85249330000</v>
      </c>
      <c r="G37" s="3">
        <v>-5.8971474074729351E-2</v>
      </c>
      <c r="H37" s="2">
        <v>44896</v>
      </c>
      <c r="I37" s="6">
        <v>43.075634002685497</v>
      </c>
      <c r="J37" s="6">
        <v>46.177683673018102</v>
      </c>
      <c r="K37" s="6">
        <v>41.343864637068897</v>
      </c>
      <c r="L37" s="6">
        <v>42.293816058581598</v>
      </c>
      <c r="M37" s="6">
        <v>423156900</v>
      </c>
      <c r="N37" s="3">
        <v>3.0903028267986139E-2</v>
      </c>
      <c r="O37" s="2">
        <v>44896</v>
      </c>
      <c r="P37">
        <v>4.25</v>
      </c>
      <c r="Q37">
        <v>4.68</v>
      </c>
      <c r="R37">
        <v>4.05</v>
      </c>
      <c r="S37">
        <v>3.76</v>
      </c>
      <c r="T37">
        <v>3.62</v>
      </c>
      <c r="U37">
        <v>3.87</v>
      </c>
      <c r="V37">
        <v>3.66</v>
      </c>
      <c r="W37">
        <v>8.6539445966089519E-4</v>
      </c>
      <c r="X37">
        <v>4.9891397824400989E-3</v>
      </c>
      <c r="Z37" s="8">
        <f t="shared" si="0"/>
        <v>3.8999999999999994E-3</v>
      </c>
      <c r="AA37">
        <v>0.35416666666666669</v>
      </c>
      <c r="AB37">
        <v>0.38999999999999996</v>
      </c>
      <c r="AC37">
        <v>0.33749999999999997</v>
      </c>
      <c r="AD37" s="7">
        <f t="shared" si="1"/>
        <v>-6.2871474074729344E-2</v>
      </c>
      <c r="AE37" s="7">
        <f t="shared" si="2"/>
        <v>2.7003028267986139E-2</v>
      </c>
    </row>
    <row r="38" spans="1:31" x14ac:dyDescent="0.3">
      <c r="A38" s="2">
        <v>44927</v>
      </c>
      <c r="B38" s="4">
        <v>4076.60009765625</v>
      </c>
      <c r="C38" s="4">
        <v>4094.2099609375</v>
      </c>
      <c r="D38" s="4">
        <v>3794.330078125</v>
      </c>
      <c r="E38" s="4">
        <v>3853.2900390625</v>
      </c>
      <c r="F38" s="1">
        <v>80763810000</v>
      </c>
      <c r="G38" s="3">
        <v>6.1752857834678994E-2</v>
      </c>
      <c r="H38" s="2">
        <v>44927</v>
      </c>
      <c r="I38" s="6">
        <v>37.123733520507798</v>
      </c>
      <c r="J38" s="6">
        <v>43.378274448162998</v>
      </c>
      <c r="K38" s="6">
        <v>35.896364472966297</v>
      </c>
      <c r="L38" s="6">
        <v>42.8822824074607</v>
      </c>
      <c r="M38" s="6">
        <v>522769000</v>
      </c>
      <c r="N38" s="3">
        <v>-0.1381732531622549</v>
      </c>
      <c r="O38" s="2">
        <v>44927</v>
      </c>
      <c r="P38">
        <v>4.54</v>
      </c>
      <c r="Q38">
        <v>4.6900000000000004</v>
      </c>
      <c r="R38">
        <v>3.91</v>
      </c>
      <c r="S38">
        <v>3.64</v>
      </c>
      <c r="T38">
        <v>3.53</v>
      </c>
      <c r="U38">
        <v>3.81</v>
      </c>
      <c r="V38">
        <v>3.66</v>
      </c>
      <c r="W38">
        <v>1.9504550764945821E-2</v>
      </c>
      <c r="X38">
        <v>2.5090570752892591E-3</v>
      </c>
      <c r="Z38" s="8">
        <f t="shared" si="0"/>
        <v>3.908333333333334E-3</v>
      </c>
      <c r="AA38">
        <v>0.37833333333333335</v>
      </c>
      <c r="AB38">
        <v>0.39083333333333337</v>
      </c>
      <c r="AC38">
        <v>0.32583333333333336</v>
      </c>
      <c r="AD38" s="7">
        <f t="shared" si="1"/>
        <v>5.7844524501345661E-2</v>
      </c>
      <c r="AE38" s="7">
        <f t="shared" si="2"/>
        <v>-0.14208158649558825</v>
      </c>
    </row>
    <row r="39" spans="1:31" x14ac:dyDescent="0.3">
      <c r="A39" s="2">
        <v>44958</v>
      </c>
      <c r="B39" s="4">
        <v>3970.14990234375</v>
      </c>
      <c r="C39" s="4">
        <v>4195.43994140625</v>
      </c>
      <c r="D39" s="4">
        <v>3943.080078125</v>
      </c>
      <c r="E39" s="5" t="s">
        <v>46</v>
      </c>
      <c r="F39" s="1">
        <v>80392280000</v>
      </c>
      <c r="G39" s="3">
        <v>-2.6112493931818616E-2</v>
      </c>
      <c r="H39" s="2">
        <v>44958</v>
      </c>
      <c r="I39" s="6">
        <v>34.418857574462798</v>
      </c>
      <c r="J39" s="6">
        <v>37.719063045604102</v>
      </c>
      <c r="K39" s="6">
        <v>34.011634601716601</v>
      </c>
      <c r="L39" s="6">
        <v>37.252453591602404</v>
      </c>
      <c r="M39" s="6">
        <v>403988700</v>
      </c>
      <c r="N39" s="3">
        <v>-7.2861096919327351E-2</v>
      </c>
      <c r="O39" s="2">
        <v>44958</v>
      </c>
      <c r="P39">
        <v>4.6500000000000004</v>
      </c>
      <c r="Q39">
        <v>4.93</v>
      </c>
      <c r="R39">
        <v>4.2300000000000004</v>
      </c>
      <c r="S39">
        <v>3.94</v>
      </c>
      <c r="T39">
        <v>3.75</v>
      </c>
      <c r="U39">
        <v>3.95</v>
      </c>
      <c r="V39">
        <v>3.8</v>
      </c>
      <c r="W39">
        <v>5.527407652593571E-3</v>
      </c>
      <c r="X39">
        <v>1.4269402668087212E-3</v>
      </c>
      <c r="Z39" s="8">
        <f t="shared" si="0"/>
        <v>4.1083333333333336E-3</v>
      </c>
      <c r="AA39">
        <v>0.38750000000000001</v>
      </c>
      <c r="AB39">
        <v>0.41083333333333333</v>
      </c>
      <c r="AC39">
        <v>0.35250000000000004</v>
      </c>
      <c r="AD39" s="7">
        <f t="shared" si="1"/>
        <v>-3.0220827265151948E-2</v>
      </c>
      <c r="AE39" s="7">
        <f t="shared" si="2"/>
        <v>-7.6969430252660689E-2</v>
      </c>
    </row>
    <row r="40" spans="1:31" x14ac:dyDescent="0.3">
      <c r="A40" s="2">
        <v>44986</v>
      </c>
      <c r="B40" s="4">
        <v>4109.31005859375</v>
      </c>
      <c r="C40" s="4">
        <v>4110.75</v>
      </c>
      <c r="D40" s="5" t="s">
        <v>47</v>
      </c>
      <c r="E40" s="5" t="s">
        <v>48</v>
      </c>
      <c r="F40" s="1">
        <v>113094800000</v>
      </c>
      <c r="G40" s="3">
        <v>3.5051612577108933E-2</v>
      </c>
      <c r="H40" s="2">
        <v>44986</v>
      </c>
      <c r="I40" s="6">
        <v>34.613979339599602</v>
      </c>
      <c r="J40" s="6">
        <v>35.0042342195974</v>
      </c>
      <c r="K40" s="6">
        <v>33.282020074500899</v>
      </c>
      <c r="L40" s="6">
        <v>34.410369504957202</v>
      </c>
      <c r="M40" s="6">
        <v>504067700</v>
      </c>
      <c r="N40" s="3">
        <v>5.6690366527904559E-3</v>
      </c>
      <c r="O40" s="2">
        <v>44986</v>
      </c>
      <c r="P40">
        <v>4.6900000000000004</v>
      </c>
      <c r="Q40">
        <v>4.68</v>
      </c>
      <c r="R40">
        <v>4.09</v>
      </c>
      <c r="S40">
        <v>3.82</v>
      </c>
      <c r="T40">
        <v>3.66</v>
      </c>
      <c r="U40">
        <v>3.94</v>
      </c>
      <c r="V40">
        <v>3.77</v>
      </c>
      <c r="W40">
        <v>1.7502475286880039E-5</v>
      </c>
      <c r="X40">
        <v>5.4705671678665301E-4</v>
      </c>
      <c r="Z40" s="8">
        <f t="shared" si="0"/>
        <v>3.8999999999999994E-3</v>
      </c>
      <c r="AA40">
        <v>0.39083333333333337</v>
      </c>
      <c r="AB40">
        <v>0.38999999999999996</v>
      </c>
      <c r="AC40">
        <v>0.34083333333333332</v>
      </c>
      <c r="AD40" s="7">
        <f t="shared" si="1"/>
        <v>3.1151612577108932E-2</v>
      </c>
      <c r="AE40" s="7">
        <f t="shared" si="2"/>
        <v>1.7690366527904565E-3</v>
      </c>
    </row>
    <row r="41" spans="1:31" x14ac:dyDescent="0.3">
      <c r="A41" s="2">
        <v>45017</v>
      </c>
      <c r="B41" s="4">
        <v>4169.47998046875</v>
      </c>
      <c r="C41" s="4">
        <v>4170.06005859375</v>
      </c>
      <c r="D41" s="4">
        <v>4049.35009765625</v>
      </c>
      <c r="E41" s="4">
        <v>4102.2001953125</v>
      </c>
      <c r="F41" s="1">
        <v>70861260000</v>
      </c>
      <c r="G41" s="3">
        <v>1.464234166248112E-2</v>
      </c>
      <c r="H41" s="2">
        <v>45017</v>
      </c>
      <c r="I41" s="6">
        <v>32.993576049804602</v>
      </c>
      <c r="J41" s="6">
        <v>35.818689713553802</v>
      </c>
      <c r="K41" s="6">
        <v>32.501516163927697</v>
      </c>
      <c r="L41" s="6">
        <v>34.520663029738003</v>
      </c>
      <c r="M41" s="6">
        <v>387645900</v>
      </c>
      <c r="N41" s="3">
        <v>-4.6813551077070241E-2</v>
      </c>
      <c r="O41" s="2">
        <v>45017</v>
      </c>
      <c r="P41">
        <v>4.92</v>
      </c>
      <c r="Q41">
        <v>4.68</v>
      </c>
      <c r="R41">
        <v>3.76</v>
      </c>
      <c r="S41">
        <v>3.54</v>
      </c>
      <c r="T41">
        <v>3.46</v>
      </c>
      <c r="U41">
        <v>3.8</v>
      </c>
      <c r="V41">
        <v>3.68</v>
      </c>
      <c r="W41">
        <v>2.3327926044801801E-3</v>
      </c>
      <c r="X41">
        <v>8.8802372828387206E-6</v>
      </c>
      <c r="Z41" s="8">
        <f t="shared" si="0"/>
        <v>3.8999999999999994E-3</v>
      </c>
      <c r="AA41">
        <v>0.41</v>
      </c>
      <c r="AB41">
        <v>0.38999999999999996</v>
      </c>
      <c r="AC41">
        <v>0.3133333333333333</v>
      </c>
      <c r="AD41" s="7">
        <f t="shared" si="1"/>
        <v>1.0742341662481121E-2</v>
      </c>
      <c r="AE41" s="7">
        <f t="shared" si="2"/>
        <v>-5.0713551077070242E-2</v>
      </c>
    </row>
    <row r="42" spans="1:31" x14ac:dyDescent="0.3">
      <c r="A42" s="2">
        <v>45047</v>
      </c>
      <c r="B42" s="4">
        <v>4179.830078125</v>
      </c>
      <c r="C42" s="4">
        <v>4231.10009765625</v>
      </c>
      <c r="D42" s="5" t="s">
        <v>49</v>
      </c>
      <c r="E42" s="4">
        <v>4166.7900390625</v>
      </c>
      <c r="F42" s="1">
        <v>85190040000</v>
      </c>
      <c r="G42" s="3">
        <v>2.4823473681929993E-3</v>
      </c>
      <c r="H42" s="2">
        <v>45047</v>
      </c>
      <c r="I42" s="6">
        <v>32.255485534667898</v>
      </c>
      <c r="J42" s="6">
        <v>34.054054552490101</v>
      </c>
      <c r="K42" s="6">
        <v>30.685976819580599</v>
      </c>
      <c r="L42" s="6">
        <v>33.0868995451359</v>
      </c>
      <c r="M42" s="6">
        <v>678041800</v>
      </c>
      <c r="N42" s="3">
        <v>-2.2370734049032424E-2</v>
      </c>
      <c r="O42" s="2">
        <v>45047</v>
      </c>
      <c r="P42">
        <v>5.14</v>
      </c>
      <c r="Q42">
        <v>4.91</v>
      </c>
      <c r="R42">
        <v>3.82</v>
      </c>
      <c r="S42">
        <v>3.59</v>
      </c>
      <c r="T42">
        <v>3.57</v>
      </c>
      <c r="U42">
        <v>3.96</v>
      </c>
      <c r="V42">
        <v>3.86</v>
      </c>
      <c r="W42">
        <v>5.6911707256908166E-4</v>
      </c>
      <c r="X42">
        <v>8.4272796502114111E-5</v>
      </c>
      <c r="Z42" s="8">
        <f t="shared" si="0"/>
        <v>4.0916666666666671E-3</v>
      </c>
      <c r="AA42">
        <v>0.42833333333333329</v>
      </c>
      <c r="AB42">
        <v>0.40916666666666668</v>
      </c>
      <c r="AC42">
        <v>0.3183333333333333</v>
      </c>
      <c r="AD42" s="7">
        <f t="shared" si="1"/>
        <v>-1.6093192984736678E-3</v>
      </c>
      <c r="AE42" s="7">
        <f t="shared" si="2"/>
        <v>-2.6462400715699091E-2</v>
      </c>
    </row>
    <row r="43" spans="1:31" x14ac:dyDescent="0.3">
      <c r="A43" s="2">
        <v>45078</v>
      </c>
      <c r="B43" s="4">
        <v>4450.3798828125</v>
      </c>
      <c r="C43" s="4">
        <v>4458.47998046875</v>
      </c>
      <c r="D43" s="4">
        <v>4171.64013671875</v>
      </c>
      <c r="E43" s="4">
        <v>4183.02978515625</v>
      </c>
      <c r="F43" s="1">
        <v>87983140000</v>
      </c>
      <c r="G43" s="3">
        <v>6.4727464904234575E-2</v>
      </c>
      <c r="H43" s="2">
        <v>45078</v>
      </c>
      <c r="I43" s="6">
        <v>31.4553833007812</v>
      </c>
      <c r="J43" s="6">
        <v>34.619786796331603</v>
      </c>
      <c r="K43" s="6">
        <v>30.666424336981201</v>
      </c>
      <c r="L43" s="6">
        <v>32.6902717516774</v>
      </c>
      <c r="M43" s="6">
        <v>562641300</v>
      </c>
      <c r="N43" s="3">
        <v>-2.4805152383359876E-2</v>
      </c>
      <c r="O43" s="2">
        <v>45078</v>
      </c>
      <c r="P43">
        <v>5.16</v>
      </c>
      <c r="Q43">
        <v>5.24</v>
      </c>
      <c r="R43">
        <v>4.2699999999999996</v>
      </c>
      <c r="S43">
        <v>3.95</v>
      </c>
      <c r="T43">
        <v>3.75</v>
      </c>
      <c r="U43">
        <v>4.04</v>
      </c>
      <c r="V43">
        <v>3.87</v>
      </c>
      <c r="W43">
        <v>6.9119528347656636E-4</v>
      </c>
      <c r="X43">
        <v>2.8159044071310903E-3</v>
      </c>
      <c r="Z43" s="8">
        <f t="shared" si="0"/>
        <v>4.3666666666666671E-3</v>
      </c>
      <c r="AA43">
        <v>0.43</v>
      </c>
      <c r="AB43">
        <v>0.4366666666666667</v>
      </c>
      <c r="AC43">
        <v>0.35583333333333328</v>
      </c>
      <c r="AD43" s="7">
        <f t="shared" si="1"/>
        <v>6.036079823756791E-2</v>
      </c>
      <c r="AE43" s="7">
        <f t="shared" si="2"/>
        <v>-2.9171819050026544E-2</v>
      </c>
    </row>
    <row r="44" spans="1:31" x14ac:dyDescent="0.3">
      <c r="A44" s="2">
        <v>45108</v>
      </c>
      <c r="B44" s="4">
        <v>4588.9599609375</v>
      </c>
      <c r="C44" s="4">
        <v>4607.06982421875</v>
      </c>
      <c r="D44" s="4">
        <v>4385.0498046875</v>
      </c>
      <c r="E44" s="4">
        <v>4450.47998046875</v>
      </c>
      <c r="F44" s="1">
        <v>75063200000</v>
      </c>
      <c r="G44" s="3">
        <v>3.1138932355010952E-2</v>
      </c>
      <c r="H44" s="2">
        <v>45108</v>
      </c>
      <c r="I44" s="6">
        <v>30.923690795898398</v>
      </c>
      <c r="J44" s="6">
        <v>32.415847032048397</v>
      </c>
      <c r="K44" s="6">
        <v>30.314819212926601</v>
      </c>
      <c r="L44" s="6">
        <v>31.301016945781601</v>
      </c>
      <c r="M44" s="6">
        <v>441642200</v>
      </c>
      <c r="N44" s="3">
        <v>-1.6903068698883004E-2</v>
      </c>
      <c r="O44" s="2">
        <v>45108</v>
      </c>
      <c r="P44">
        <v>5.25</v>
      </c>
      <c r="Q44">
        <v>5.37</v>
      </c>
      <c r="R44">
        <v>4.47</v>
      </c>
      <c r="S44">
        <v>4.1399999999999997</v>
      </c>
      <c r="T44">
        <v>3.9</v>
      </c>
      <c r="U44">
        <v>4.1500000000000004</v>
      </c>
      <c r="V44">
        <v>3.96</v>
      </c>
      <c r="W44">
        <v>3.3813727707471725E-4</v>
      </c>
      <c r="X44">
        <v>3.7933652151848554E-4</v>
      </c>
      <c r="Z44" s="8">
        <f t="shared" si="0"/>
        <v>4.4749999999999998E-3</v>
      </c>
      <c r="AA44">
        <v>0.4375</v>
      </c>
      <c r="AB44">
        <v>0.44750000000000001</v>
      </c>
      <c r="AC44">
        <v>0.3725</v>
      </c>
      <c r="AD44" s="7">
        <f t="shared" si="1"/>
        <v>2.6663932355010952E-2</v>
      </c>
      <c r="AE44" s="7">
        <f t="shared" si="2"/>
        <v>-2.1378068698883004E-2</v>
      </c>
    </row>
    <row r="45" spans="1:31" x14ac:dyDescent="0.3">
      <c r="A45" s="2">
        <v>45139</v>
      </c>
      <c r="B45" s="4">
        <v>4507.66015625</v>
      </c>
      <c r="C45" s="4">
        <v>4584.6201171875</v>
      </c>
      <c r="D45" s="4">
        <v>4335.31005859375</v>
      </c>
      <c r="E45" s="4">
        <v>4578.830078125</v>
      </c>
      <c r="F45" s="1">
        <v>86840820000</v>
      </c>
      <c r="G45" s="3">
        <v>-1.7716390070854068E-2</v>
      </c>
      <c r="H45" s="2">
        <v>45139</v>
      </c>
      <c r="I45" s="6">
        <v>30.678585052490199</v>
      </c>
      <c r="J45" s="6">
        <v>32.248063921052498</v>
      </c>
      <c r="K45" s="6">
        <v>30.054260066046201</v>
      </c>
      <c r="L45" s="6">
        <v>31.112143335790201</v>
      </c>
      <c r="M45" s="6">
        <v>537104500</v>
      </c>
      <c r="N45" s="3">
        <v>-7.9261477883069975E-3</v>
      </c>
      <c r="O45" s="2">
        <v>45139</v>
      </c>
      <c r="P45">
        <v>5.3</v>
      </c>
      <c r="Q45">
        <v>5.37</v>
      </c>
      <c r="R45">
        <v>4.59</v>
      </c>
      <c r="S45">
        <v>4.3099999999999996</v>
      </c>
      <c r="T45">
        <v>4.17</v>
      </c>
      <c r="U45">
        <v>4.46</v>
      </c>
      <c r="V45">
        <v>4.28</v>
      </c>
      <c r="W45">
        <v>8.857799744428174E-5</v>
      </c>
      <c r="X45">
        <v>8.6311148243644004E-4</v>
      </c>
      <c r="Z45" s="8">
        <f>Q45/12/100</f>
        <v>4.4749999999999998E-3</v>
      </c>
      <c r="AA45">
        <v>0.44166666666666665</v>
      </c>
      <c r="AB45">
        <v>0.44750000000000001</v>
      </c>
      <c r="AC45">
        <v>0.38250000000000001</v>
      </c>
      <c r="AD45" s="7">
        <f t="shared" si="1"/>
        <v>-2.2191390070854067E-2</v>
      </c>
      <c r="AE45" s="7">
        <f t="shared" si="2"/>
        <v>-1.2401147788306997E-2</v>
      </c>
    </row>
    <row r="46" spans="1:31" x14ac:dyDescent="0.3">
      <c r="A46" s="2">
        <v>45170</v>
      </c>
      <c r="B46" s="4">
        <v>4288.0498046875</v>
      </c>
      <c r="C46" s="4">
        <v>4541.25</v>
      </c>
      <c r="D46" s="4">
        <v>4238.6298828125</v>
      </c>
      <c r="E46" s="4">
        <v>4530.60009765625</v>
      </c>
      <c r="F46" s="1">
        <v>73482980000</v>
      </c>
      <c r="G46" s="3">
        <v>-4.871936746562492E-2</v>
      </c>
      <c r="H46" s="2">
        <v>45170</v>
      </c>
      <c r="I46" s="6">
        <v>28.762252807617099</v>
      </c>
      <c r="J46" s="6">
        <v>31.4676586777226</v>
      </c>
      <c r="K46" s="6">
        <v>27.5482916884757</v>
      </c>
      <c r="L46" s="6">
        <v>30.904031627837199</v>
      </c>
      <c r="M46" s="6">
        <v>554689100</v>
      </c>
      <c r="N46" s="3">
        <v>-6.246481842608808E-2</v>
      </c>
      <c r="O46" s="2">
        <v>45170</v>
      </c>
      <c r="P46">
        <v>5.32</v>
      </c>
      <c r="Q46">
        <v>5.44</v>
      </c>
      <c r="R46">
        <v>4.74</v>
      </c>
      <c r="S46">
        <v>4.49</v>
      </c>
      <c r="T46">
        <v>4.38</v>
      </c>
      <c r="U46">
        <v>4.6500000000000004</v>
      </c>
      <c r="V46">
        <v>4.47</v>
      </c>
      <c r="W46">
        <v>4.0896356393791567E-3</v>
      </c>
      <c r="X46">
        <v>3.6459540942740004E-3</v>
      </c>
      <c r="Z46" s="8">
        <f t="shared" si="0"/>
        <v>4.5333333333333337E-3</v>
      </c>
      <c r="AA46">
        <v>0.44333333333333336</v>
      </c>
      <c r="AB46">
        <v>0.45333333333333337</v>
      </c>
      <c r="AC46">
        <v>0.39500000000000002</v>
      </c>
      <c r="AD46" s="7">
        <f t="shared" si="1"/>
        <v>-5.3252700798958254E-2</v>
      </c>
      <c r="AE46" s="7">
        <f t="shared" si="2"/>
        <v>-6.699815175942142E-2</v>
      </c>
    </row>
    <row r="47" spans="1:31" x14ac:dyDescent="0.3">
      <c r="A47" s="2">
        <v>45200</v>
      </c>
      <c r="B47" s="4">
        <v>4193.7998046875</v>
      </c>
      <c r="C47" s="4">
        <v>4393.56982421875</v>
      </c>
      <c r="D47" s="4">
        <v>4103.77978515625</v>
      </c>
      <c r="E47" s="4">
        <v>4284.52001953125</v>
      </c>
      <c r="F47" s="1">
        <v>83519460000</v>
      </c>
      <c r="G47" s="3">
        <v>-2.1979688737982988E-2</v>
      </c>
      <c r="H47" s="2">
        <v>45200</v>
      </c>
      <c r="I47" s="6">
        <v>26.499076843261701</v>
      </c>
      <c r="J47" s="6">
        <v>29.577341069810601</v>
      </c>
      <c r="K47" s="6">
        <v>25.753357860466</v>
      </c>
      <c r="L47" s="6">
        <v>28.571486173477901</v>
      </c>
      <c r="M47" s="6">
        <v>681416300</v>
      </c>
      <c r="N47" s="3">
        <v>-7.8685629373094215E-2</v>
      </c>
      <c r="O47" s="2">
        <v>45200</v>
      </c>
      <c r="P47">
        <v>5.34</v>
      </c>
      <c r="Q47">
        <v>5.42</v>
      </c>
      <c r="R47">
        <v>4.8899999999999997</v>
      </c>
      <c r="S47">
        <v>4.7699999999999996</v>
      </c>
      <c r="T47">
        <v>4.8</v>
      </c>
      <c r="U47">
        <v>5.13</v>
      </c>
      <c r="V47">
        <v>4.95</v>
      </c>
      <c r="W47">
        <v>6.4274004730110329E-3</v>
      </c>
      <c r="X47">
        <v>1.1317880464331953E-3</v>
      </c>
      <c r="Z47" s="8">
        <f t="shared" si="0"/>
        <v>4.5166666666666662E-3</v>
      </c>
      <c r="AA47">
        <v>0.44500000000000001</v>
      </c>
      <c r="AB47">
        <v>0.45166666666666666</v>
      </c>
      <c r="AC47">
        <v>0.40749999999999997</v>
      </c>
      <c r="AD47" s="7">
        <f t="shared" si="1"/>
        <v>-2.6496355404649653E-2</v>
      </c>
      <c r="AE47" s="7">
        <f t="shared" si="2"/>
        <v>-8.3202296039760884E-2</v>
      </c>
    </row>
    <row r="48" spans="1:31" x14ac:dyDescent="0.3">
      <c r="A48" s="2">
        <v>45231</v>
      </c>
      <c r="B48" s="4">
        <v>4567.7998046875</v>
      </c>
      <c r="C48" s="4">
        <v>4587.64013671875</v>
      </c>
      <c r="D48" s="4">
        <v>4197.740234375</v>
      </c>
      <c r="E48" s="4">
        <v>4201.27001953125</v>
      </c>
      <c r="F48" s="1">
        <v>80970570000</v>
      </c>
      <c r="G48" s="3">
        <v>8.9179268781970036E-2</v>
      </c>
      <c r="H48" s="2">
        <v>45231</v>
      </c>
      <c r="I48" s="6">
        <v>26.421037673950099</v>
      </c>
      <c r="J48" s="6">
        <v>27.236127601208</v>
      </c>
      <c r="K48" s="6">
        <v>25.085679199061602</v>
      </c>
      <c r="L48" s="6">
        <v>26.499078286873399</v>
      </c>
      <c r="M48" s="6">
        <v>607150200</v>
      </c>
      <c r="N48" s="3">
        <v>-2.9449769051651223E-3</v>
      </c>
      <c r="O48" s="2">
        <v>45231</v>
      </c>
      <c r="P48">
        <v>5.27</v>
      </c>
      <c r="Q48">
        <v>5.28</v>
      </c>
      <c r="R48">
        <v>4.6399999999999997</v>
      </c>
      <c r="S48">
        <v>4.49</v>
      </c>
      <c r="T48">
        <v>4.5</v>
      </c>
      <c r="U48">
        <v>4.84</v>
      </c>
      <c r="V48">
        <v>4.66</v>
      </c>
      <c r="W48">
        <v>1.962859995423234E-5</v>
      </c>
      <c r="X48">
        <v>6.0088697573669842E-3</v>
      </c>
      <c r="Z48" s="8">
        <f t="shared" si="0"/>
        <v>4.4000000000000003E-3</v>
      </c>
      <c r="AA48">
        <v>0.43916666666666665</v>
      </c>
      <c r="AB48">
        <v>0.44</v>
      </c>
      <c r="AC48">
        <v>0.38666666666666666</v>
      </c>
      <c r="AD48" s="7">
        <f t="shared" si="1"/>
        <v>8.4779268781970035E-2</v>
      </c>
      <c r="AE48" s="7">
        <f t="shared" si="2"/>
        <v>-7.344976905165123E-3</v>
      </c>
    </row>
    <row r="49" spans="1:31" x14ac:dyDescent="0.3">
      <c r="A49" s="2">
        <v>45261</v>
      </c>
      <c r="B49" s="4">
        <v>4769.830078125</v>
      </c>
      <c r="C49" s="4">
        <v>4793.2998046875</v>
      </c>
      <c r="D49" s="4">
        <v>4546.5</v>
      </c>
      <c r="E49" s="4">
        <v>4559.43017578125</v>
      </c>
      <c r="F49" s="1">
        <v>81530670000</v>
      </c>
      <c r="G49" s="3">
        <v>4.4229231156360113E-2</v>
      </c>
      <c r="H49" s="2">
        <v>45261</v>
      </c>
      <c r="I49" s="6">
        <v>25.300865173339801</v>
      </c>
      <c r="J49" s="6">
        <v>26.0478501023915</v>
      </c>
      <c r="K49" s="6">
        <v>22.6380782191859</v>
      </c>
      <c r="L49" s="6">
        <v>25.459049093104301</v>
      </c>
      <c r="M49" s="6">
        <v>1178554900</v>
      </c>
      <c r="N49" s="3">
        <v>-4.2396991156586392E-2</v>
      </c>
      <c r="O49" s="2">
        <v>45261</v>
      </c>
      <c r="P49">
        <v>5.24</v>
      </c>
      <c r="Q49">
        <v>4.96</v>
      </c>
      <c r="R49">
        <v>4.1900000000000004</v>
      </c>
      <c r="S49">
        <v>4</v>
      </c>
      <c r="T49">
        <v>4.0199999999999996</v>
      </c>
      <c r="U49">
        <v>4.32</v>
      </c>
      <c r="V49">
        <v>4.1399999999999997</v>
      </c>
      <c r="W49">
        <v>1.9256678236479229E-3</v>
      </c>
      <c r="X49">
        <v>1.0606005130468401E-3</v>
      </c>
      <c r="Z49" s="8">
        <f t="shared" si="0"/>
        <v>4.1333333333333335E-3</v>
      </c>
      <c r="AA49">
        <v>0.4366666666666667</v>
      </c>
      <c r="AB49">
        <v>0.41333333333333333</v>
      </c>
      <c r="AC49">
        <v>0.34916666666666668</v>
      </c>
      <c r="AD49" s="7">
        <f t="shared" si="1"/>
        <v>4.0095897823026777E-2</v>
      </c>
      <c r="AE49" s="7">
        <f t="shared" si="2"/>
        <v>-4.6530324489919728E-2</v>
      </c>
    </row>
    <row r="50" spans="1:31" x14ac:dyDescent="0.3">
      <c r="A50" s="2">
        <v>45292</v>
      </c>
      <c r="B50" s="4">
        <v>4845.64990234375</v>
      </c>
      <c r="C50" s="4">
        <v>4931.08984375</v>
      </c>
      <c r="D50" s="4">
        <v>4682.10986328125</v>
      </c>
      <c r="E50" s="4">
        <v>4745.2001953125</v>
      </c>
      <c r="F50" s="1">
        <v>81737880000</v>
      </c>
      <c r="G50" s="3">
        <v>1.5895707598991546E-2</v>
      </c>
      <c r="H50" s="2">
        <v>45292</v>
      </c>
      <c r="I50" s="6">
        <v>23.798099517822202</v>
      </c>
      <c r="J50" s="6">
        <v>26.610283300248099</v>
      </c>
      <c r="K50" s="6">
        <v>23.5344580215537</v>
      </c>
      <c r="L50" s="6">
        <v>25.379951847816901</v>
      </c>
      <c r="M50" s="6">
        <v>972933500</v>
      </c>
      <c r="N50" s="3">
        <v>-5.9395820863118301E-2</v>
      </c>
      <c r="O50" s="2">
        <v>45292</v>
      </c>
      <c r="P50">
        <v>5.22</v>
      </c>
      <c r="Q50">
        <v>4.79</v>
      </c>
      <c r="R50">
        <v>4.1100000000000003</v>
      </c>
      <c r="S50">
        <v>3.98</v>
      </c>
      <c r="T50">
        <v>4.0599999999999996</v>
      </c>
      <c r="U50">
        <v>4.3899999999999997</v>
      </c>
      <c r="V50">
        <v>4.26</v>
      </c>
      <c r="W50">
        <v>3.7065280067420463E-3</v>
      </c>
      <c r="X50">
        <v>1.7921155997298714E-5</v>
      </c>
      <c r="Z50" s="8">
        <f t="shared" si="0"/>
        <v>3.9916666666666668E-3</v>
      </c>
      <c r="AA50">
        <v>0.435</v>
      </c>
      <c r="AB50">
        <v>0.39916666666666667</v>
      </c>
      <c r="AC50">
        <v>0.34250000000000003</v>
      </c>
      <c r="AD50" s="7">
        <f t="shared" si="1"/>
        <v>1.1904040932324878E-2</v>
      </c>
      <c r="AE50" s="7">
        <f t="shared" si="2"/>
        <v>-6.3387487529784972E-2</v>
      </c>
    </row>
    <row r="51" spans="1:31" x14ac:dyDescent="0.3">
      <c r="A51" s="2">
        <v>45323</v>
      </c>
      <c r="B51" s="4">
        <v>5096.27001953125</v>
      </c>
      <c r="C51" s="4">
        <v>5111.06005859375</v>
      </c>
      <c r="D51" s="4">
        <v>4853.52001953125</v>
      </c>
      <c r="E51" s="4">
        <v>4861.10986328125</v>
      </c>
      <c r="F51" s="1">
        <v>82066930000</v>
      </c>
      <c r="G51" s="3">
        <v>5.1720640623723092E-2</v>
      </c>
      <c r="H51" s="2">
        <v>45323</v>
      </c>
      <c r="I51" s="6">
        <v>23.692367553710898</v>
      </c>
      <c r="J51" s="6">
        <v>25.101777933228401</v>
      </c>
      <c r="K51" s="6">
        <v>23.656687161293402</v>
      </c>
      <c r="L51" s="6">
        <v>24.174065611966501</v>
      </c>
      <c r="M51" s="6">
        <v>762373700</v>
      </c>
      <c r="N51" s="3">
        <v>-4.4428742737259944E-3</v>
      </c>
      <c r="O51" s="2">
        <v>45323</v>
      </c>
      <c r="P51">
        <v>5.24</v>
      </c>
      <c r="Q51">
        <v>4.92</v>
      </c>
      <c r="R51">
        <v>4.33</v>
      </c>
      <c r="S51">
        <v>4.1900000000000004</v>
      </c>
      <c r="T51">
        <v>4.21</v>
      </c>
      <c r="U51">
        <v>4.49</v>
      </c>
      <c r="V51">
        <v>4.38</v>
      </c>
      <c r="W51">
        <v>3.514491815750959E-5</v>
      </c>
      <c r="X51">
        <v>1.6046651283526925E-3</v>
      </c>
      <c r="Z51" s="8">
        <f t="shared" si="0"/>
        <v>4.0999999999999995E-3</v>
      </c>
      <c r="AA51">
        <v>0.4366666666666667</v>
      </c>
      <c r="AB51">
        <v>0.41</v>
      </c>
      <c r="AC51">
        <v>0.36083333333333334</v>
      </c>
      <c r="AD51" s="7">
        <f t="shared" si="1"/>
        <v>4.7620640623723093E-2</v>
      </c>
      <c r="AE51" s="7">
        <f t="shared" si="2"/>
        <v>-8.5428742737259939E-3</v>
      </c>
    </row>
    <row r="52" spans="1:31" x14ac:dyDescent="0.3">
      <c r="A52" s="2">
        <v>45352</v>
      </c>
      <c r="B52" s="4">
        <v>5254.35009765625</v>
      </c>
      <c r="C52" s="4">
        <v>5264.85009765625</v>
      </c>
      <c r="D52" s="4">
        <v>5056.81982421875</v>
      </c>
      <c r="E52" s="4">
        <v>5098.509765625</v>
      </c>
      <c r="F52" s="1">
        <v>86299510000</v>
      </c>
      <c r="G52" s="3">
        <v>3.1018779915342878E-2</v>
      </c>
      <c r="H52" s="2">
        <v>45352</v>
      </c>
      <c r="I52" s="6">
        <v>24.753887176513601</v>
      </c>
      <c r="J52" s="6">
        <v>25.592397705015401</v>
      </c>
      <c r="K52" s="6">
        <v>22.844939304471598</v>
      </c>
      <c r="L52" s="6">
        <v>23.933217695758199</v>
      </c>
      <c r="M52" s="6">
        <v>939083100</v>
      </c>
      <c r="N52" s="3">
        <v>4.4804286460448664E-2</v>
      </c>
      <c r="O52" s="2">
        <v>45352</v>
      </c>
      <c r="P52">
        <v>5.24</v>
      </c>
      <c r="Q52">
        <v>4.99</v>
      </c>
      <c r="R52">
        <v>4.38</v>
      </c>
      <c r="S52">
        <v>4.2</v>
      </c>
      <c r="T52">
        <v>4.21</v>
      </c>
      <c r="U52">
        <v>4.46</v>
      </c>
      <c r="V52">
        <v>4.3600000000000003</v>
      </c>
      <c r="W52">
        <v>1.8765223999918799E-3</v>
      </c>
      <c r="X52">
        <v>3.7467064491171855E-4</v>
      </c>
      <c r="Z52" s="8">
        <f t="shared" si="0"/>
        <v>4.1583333333333333E-3</v>
      </c>
      <c r="AA52">
        <v>0.4366666666666667</v>
      </c>
      <c r="AB52">
        <v>0.41583333333333333</v>
      </c>
      <c r="AC52">
        <v>0.36499999999999999</v>
      </c>
      <c r="AD52" s="7">
        <f t="shared" si="1"/>
        <v>2.6860446582009544E-2</v>
      </c>
      <c r="AE52" s="7">
        <f t="shared" si="2"/>
        <v>4.0645953127115331E-2</v>
      </c>
    </row>
    <row r="53" spans="1:31" x14ac:dyDescent="0.3">
      <c r="A53" s="2">
        <v>45383</v>
      </c>
      <c r="B53" s="4">
        <v>5035.68994140625</v>
      </c>
      <c r="C53" s="4">
        <v>5263.9501953125</v>
      </c>
      <c r="D53" s="4">
        <v>4953.56005859375</v>
      </c>
      <c r="E53" s="4">
        <v>5257.97021484375</v>
      </c>
      <c r="F53" s="1">
        <v>81747170000</v>
      </c>
      <c r="G53" s="3">
        <v>-4.1615071737898725E-2</v>
      </c>
      <c r="H53" s="2">
        <v>45383</v>
      </c>
      <c r="I53" s="6">
        <v>22.853855133056602</v>
      </c>
      <c r="J53" s="6">
        <v>24.860926653937799</v>
      </c>
      <c r="K53" s="6">
        <v>22.479201714435501</v>
      </c>
      <c r="L53" s="6">
        <v>24.762802612908398</v>
      </c>
      <c r="M53" s="6">
        <v>806890100</v>
      </c>
      <c r="N53" s="3">
        <v>-7.6756916192934052E-2</v>
      </c>
      <c r="O53" s="2">
        <v>45383</v>
      </c>
      <c r="P53">
        <v>5.24</v>
      </c>
      <c r="Q53">
        <v>5.14</v>
      </c>
      <c r="R53">
        <v>4.71</v>
      </c>
      <c r="S53">
        <v>4.5599999999999996</v>
      </c>
      <c r="T53">
        <v>4.54</v>
      </c>
      <c r="U53">
        <v>4.7699999999999996</v>
      </c>
      <c r="V53">
        <v>4.66</v>
      </c>
      <c r="W53">
        <v>6.1218664085952194E-3</v>
      </c>
      <c r="X53">
        <v>2.8384856877596057E-3</v>
      </c>
      <c r="Z53" s="8">
        <f t="shared" si="0"/>
        <v>4.2833333333333326E-3</v>
      </c>
      <c r="AA53">
        <v>0.4366666666666667</v>
      </c>
      <c r="AB53">
        <v>0.42833333333333329</v>
      </c>
      <c r="AC53">
        <v>0.39250000000000002</v>
      </c>
      <c r="AD53" s="7">
        <f t="shared" si="1"/>
        <v>-4.5898405071232058E-2</v>
      </c>
      <c r="AE53" s="7">
        <f t="shared" si="2"/>
        <v>-8.1040249526267386E-2</v>
      </c>
    </row>
    <row r="54" spans="1:31" x14ac:dyDescent="0.3">
      <c r="A54" s="2">
        <v>45413</v>
      </c>
      <c r="B54" s="4">
        <v>5277.509765625</v>
      </c>
      <c r="C54" s="4">
        <v>5341.8798828125</v>
      </c>
      <c r="D54" s="4">
        <v>5011.0498046875</v>
      </c>
      <c r="E54" s="4">
        <v>5029.02978515625</v>
      </c>
      <c r="F54" s="1">
        <v>86849720000</v>
      </c>
      <c r="G54" s="3">
        <v>4.8021190151199065E-2</v>
      </c>
      <c r="H54" s="2">
        <v>45413</v>
      </c>
      <c r="I54" s="6">
        <v>25.565635681152301</v>
      </c>
      <c r="J54" s="6">
        <v>26.430906064551401</v>
      </c>
      <c r="K54" s="6">
        <v>23.210671865605999</v>
      </c>
      <c r="L54" s="6">
        <v>23.487201295118599</v>
      </c>
      <c r="M54" s="6">
        <v>953935500</v>
      </c>
      <c r="N54" s="3">
        <v>0.11865746642339073</v>
      </c>
      <c r="O54" s="2">
        <v>45413</v>
      </c>
      <c r="P54">
        <v>5.25</v>
      </c>
      <c r="Q54">
        <v>5.16</v>
      </c>
      <c r="R54">
        <v>4.66</v>
      </c>
      <c r="S54">
        <v>4.5</v>
      </c>
      <c r="T54">
        <v>4.4800000000000004</v>
      </c>
      <c r="U54">
        <v>4.71</v>
      </c>
      <c r="V54">
        <v>4.62</v>
      </c>
      <c r="W54">
        <v>1.3729283617463279E-2</v>
      </c>
      <c r="X54">
        <v>1.3219638781122943E-3</v>
      </c>
      <c r="Z54" s="8">
        <f t="shared" si="0"/>
        <v>4.3E-3</v>
      </c>
      <c r="AA54">
        <v>0.4375</v>
      </c>
      <c r="AB54">
        <v>0.43</v>
      </c>
      <c r="AC54">
        <v>0.38833333333333336</v>
      </c>
      <c r="AD54" s="7">
        <f t="shared" si="1"/>
        <v>4.3721190151199067E-2</v>
      </c>
      <c r="AE54" s="7">
        <f t="shared" si="2"/>
        <v>0.11435746642339073</v>
      </c>
    </row>
    <row r="55" spans="1:31" x14ac:dyDescent="0.3">
      <c r="A55" s="2">
        <v>45444</v>
      </c>
      <c r="B55" s="4">
        <v>5460.47998046875</v>
      </c>
      <c r="C55" s="4">
        <v>5523.64013671875</v>
      </c>
      <c r="D55" s="4">
        <v>5234.31982421875</v>
      </c>
      <c r="E55" s="4">
        <v>5297.14990234375</v>
      </c>
      <c r="F55" s="1">
        <v>76025620000</v>
      </c>
      <c r="G55" s="3">
        <v>3.4669801283083251E-2</v>
      </c>
      <c r="H55" s="2">
        <v>45444</v>
      </c>
      <c r="I55" s="6">
        <v>25.335454940795898</v>
      </c>
      <c r="J55" s="6">
        <v>26.9200527560841</v>
      </c>
      <c r="K55" s="6">
        <v>24.3303683580809</v>
      </c>
      <c r="L55" s="6">
        <v>25.951184653925498</v>
      </c>
      <c r="M55" s="6">
        <v>633849500</v>
      </c>
      <c r="N55" s="3">
        <v>-9.0035211025907853E-3</v>
      </c>
      <c r="O55" s="2">
        <v>45444</v>
      </c>
      <c r="P55">
        <v>5.24</v>
      </c>
      <c r="Q55">
        <v>5.1100000000000003</v>
      </c>
      <c r="R55">
        <v>4.5</v>
      </c>
      <c r="S55">
        <v>4.32</v>
      </c>
      <c r="T55">
        <v>4.3099999999999996</v>
      </c>
      <c r="U55">
        <v>4.54</v>
      </c>
      <c r="V55">
        <v>4.4400000000000004</v>
      </c>
      <c r="W55">
        <v>1.100183192181541E-4</v>
      </c>
      <c r="X55">
        <v>5.2934194191060194E-4</v>
      </c>
      <c r="Z55" s="8">
        <f t="shared" si="0"/>
        <v>4.2583333333333336E-3</v>
      </c>
      <c r="AA55">
        <v>0.4366666666666667</v>
      </c>
      <c r="AB55">
        <v>0.42583333333333334</v>
      </c>
      <c r="AC55">
        <v>0.375</v>
      </c>
      <c r="AD55" s="7">
        <f t="shared" si="1"/>
        <v>3.0411467949749919E-2</v>
      </c>
      <c r="AE55" s="7">
        <f t="shared" si="2"/>
        <v>-1.326185443592412E-2</v>
      </c>
    </row>
    <row r="56" spans="1:31" x14ac:dyDescent="0.3">
      <c r="A56" s="2">
        <v>45474</v>
      </c>
      <c r="B56" s="4">
        <v>5522.2998046875</v>
      </c>
      <c r="C56" s="4">
        <v>5669.669921875</v>
      </c>
      <c r="D56" s="4">
        <v>5390.9501953125</v>
      </c>
      <c r="E56" s="4">
        <v>5471.080078125</v>
      </c>
      <c r="F56" s="1">
        <v>80160390000</v>
      </c>
      <c r="G56" s="3">
        <v>1.1321316887868735E-2</v>
      </c>
      <c r="H56" s="2">
        <v>45474</v>
      </c>
      <c r="I56" s="6">
        <v>27.653497695922798</v>
      </c>
      <c r="J56" s="6">
        <v>28.558982203680699</v>
      </c>
      <c r="K56" s="6">
        <v>24.7197263709614</v>
      </c>
      <c r="L56" s="6">
        <v>25.308292682663801</v>
      </c>
      <c r="M56" s="6">
        <v>781039500</v>
      </c>
      <c r="N56" s="3">
        <v>9.1494025291581363E-2</v>
      </c>
      <c r="O56" s="2">
        <v>45474</v>
      </c>
      <c r="P56">
        <v>5.2</v>
      </c>
      <c r="Q56">
        <v>4.9000000000000004</v>
      </c>
      <c r="R56">
        <v>4.29</v>
      </c>
      <c r="S56">
        <v>4.16</v>
      </c>
      <c r="T56">
        <v>4.25</v>
      </c>
      <c r="U56">
        <v>4.5599999999999996</v>
      </c>
      <c r="V56">
        <v>4.46</v>
      </c>
      <c r="W56">
        <v>8.1015453042821723E-3</v>
      </c>
      <c r="X56">
        <v>1.1631651873119962E-7</v>
      </c>
      <c r="Z56" s="8">
        <f t="shared" si="0"/>
        <v>4.0833333333333338E-3</v>
      </c>
      <c r="AA56">
        <v>0.43333333333333335</v>
      </c>
      <c r="AB56">
        <v>0.40833333333333338</v>
      </c>
      <c r="AC56">
        <v>0.35749999999999998</v>
      </c>
      <c r="AD56" s="7">
        <f t="shared" si="1"/>
        <v>7.237983554535401E-3</v>
      </c>
      <c r="AE56" s="7">
        <f t="shared" si="2"/>
        <v>8.7410691958248035E-2</v>
      </c>
    </row>
    <row r="57" spans="1:31" x14ac:dyDescent="0.3">
      <c r="A57" s="2">
        <v>45505</v>
      </c>
      <c r="B57" s="4">
        <v>5648.39990234375</v>
      </c>
      <c r="C57" s="4">
        <v>5651.6201171875</v>
      </c>
      <c r="D57" s="4">
        <v>5119.259765625</v>
      </c>
      <c r="E57" s="4">
        <v>5537.83984375</v>
      </c>
      <c r="F57" s="1">
        <v>81097300000</v>
      </c>
      <c r="G57" s="3">
        <v>2.2834706936630336E-2</v>
      </c>
      <c r="H57" s="2">
        <v>45505</v>
      </c>
      <c r="I57" s="6">
        <v>26.6388225555419</v>
      </c>
      <c r="J57" s="6">
        <v>28.7600106076321</v>
      </c>
      <c r="K57" s="6">
        <v>25.573637107218399</v>
      </c>
      <c r="L57" s="6">
        <v>28.209052194356499</v>
      </c>
      <c r="M57" s="6">
        <v>613665800</v>
      </c>
      <c r="N57" s="3">
        <v>-3.6692470208949411E-2</v>
      </c>
      <c r="O57" s="2">
        <v>45505</v>
      </c>
      <c r="P57">
        <v>5.05</v>
      </c>
      <c r="Q57">
        <v>4.43</v>
      </c>
      <c r="R57">
        <v>3.79</v>
      </c>
      <c r="S57">
        <v>3.71</v>
      </c>
      <c r="T57">
        <v>3.87</v>
      </c>
      <c r="U57">
        <v>4.25</v>
      </c>
      <c r="V57">
        <v>4.1500000000000004</v>
      </c>
      <c r="W57">
        <v>1.4575528796316474E-3</v>
      </c>
      <c r="X57">
        <v>1.2482113577147547E-4</v>
      </c>
      <c r="Z57" s="8">
        <f t="shared" si="0"/>
        <v>3.6916666666666664E-3</v>
      </c>
      <c r="AA57">
        <v>0.42083333333333334</v>
      </c>
      <c r="AB57">
        <v>0.36916666666666664</v>
      </c>
      <c r="AC57">
        <v>0.31583333333333335</v>
      </c>
      <c r="AD57" s="7">
        <f t="shared" si="1"/>
        <v>1.914304026996367E-2</v>
      </c>
      <c r="AE57" s="7">
        <f t="shared" si="2"/>
        <v>-4.0384136875616081E-2</v>
      </c>
    </row>
    <row r="58" spans="1:31" x14ac:dyDescent="0.3">
      <c r="A58" s="2">
        <v>45536</v>
      </c>
      <c r="B58" s="4">
        <v>5762.47998046875</v>
      </c>
      <c r="C58" s="4">
        <v>5767.3701171875</v>
      </c>
      <c r="D58" s="4">
        <v>5402.6201171875</v>
      </c>
      <c r="E58" s="4">
        <v>5623.89013671875</v>
      </c>
      <c r="F58" s="1">
        <v>79564830000</v>
      </c>
      <c r="G58" s="3">
        <v>2.0196884090601226E-2</v>
      </c>
      <c r="H58" s="2">
        <v>45536</v>
      </c>
      <c r="I58" s="6">
        <v>26.5745449066162</v>
      </c>
      <c r="J58" s="6">
        <v>27.8692962394394</v>
      </c>
      <c r="K58" s="6">
        <v>25.839933090958901</v>
      </c>
      <c r="L58" s="6">
        <v>26.308247663685201</v>
      </c>
      <c r="M58" s="6">
        <v>600228100</v>
      </c>
      <c r="N58" s="3">
        <v>-2.4129313069930457E-3</v>
      </c>
      <c r="O58" s="2">
        <v>45536</v>
      </c>
      <c r="P58">
        <v>4.72</v>
      </c>
      <c r="Q58">
        <v>4.03</v>
      </c>
      <c r="R58">
        <v>3.51</v>
      </c>
      <c r="S58">
        <v>3.5</v>
      </c>
      <c r="T58">
        <v>3.72</v>
      </c>
      <c r="U58">
        <v>4.0999999999999996</v>
      </c>
      <c r="V58">
        <v>4.04</v>
      </c>
      <c r="W58">
        <v>1.5197304127231256E-5</v>
      </c>
      <c r="X58">
        <v>7.2837948443738959E-5</v>
      </c>
      <c r="Z58" s="8">
        <f t="shared" si="0"/>
        <v>3.3583333333333338E-3</v>
      </c>
      <c r="AA58">
        <v>0.39333333333333331</v>
      </c>
      <c r="AB58">
        <v>0.33583333333333337</v>
      </c>
      <c r="AC58">
        <v>0.29249999999999998</v>
      </c>
      <c r="AD58" s="7">
        <f t="shared" si="1"/>
        <v>1.6838550757267891E-2</v>
      </c>
      <c r="AE58" s="7">
        <f t="shared" si="2"/>
        <v>-5.7712646403263795E-3</v>
      </c>
    </row>
    <row r="59" spans="1:31" x14ac:dyDescent="0.3">
      <c r="A59" s="2">
        <v>45566</v>
      </c>
      <c r="B59" s="4">
        <v>5705.4501953125</v>
      </c>
      <c r="C59" s="4">
        <v>5878.4599609375</v>
      </c>
      <c r="D59" s="4">
        <v>5674</v>
      </c>
      <c r="E59" s="4">
        <v>5757.72998046875</v>
      </c>
      <c r="F59" s="1">
        <v>82412430000</v>
      </c>
      <c r="G59" s="3">
        <v>-9.8967433031517272E-3</v>
      </c>
      <c r="H59" s="2">
        <v>45566</v>
      </c>
      <c r="I59" s="6">
        <v>25.986854553222599</v>
      </c>
      <c r="J59" s="6">
        <v>27.942756653842899</v>
      </c>
      <c r="K59" s="6">
        <v>25.7389247564603</v>
      </c>
      <c r="L59" s="6">
        <v>26.675552130620201</v>
      </c>
      <c r="M59" s="6">
        <v>785354000</v>
      </c>
      <c r="N59" s="3">
        <v>-2.2114785237480589E-2</v>
      </c>
      <c r="O59" s="2">
        <v>45566</v>
      </c>
      <c r="P59">
        <v>4.51</v>
      </c>
      <c r="Q59">
        <v>4.2</v>
      </c>
      <c r="R59">
        <v>3.9</v>
      </c>
      <c r="S59">
        <v>3.91</v>
      </c>
      <c r="T59">
        <v>4.0999999999999996</v>
      </c>
      <c r="U59">
        <v>4.4400000000000004</v>
      </c>
      <c r="V59">
        <v>4.38</v>
      </c>
      <c r="W59">
        <v>5.569706632245063E-4</v>
      </c>
      <c r="X59">
        <v>4.6479532175383142E-4</v>
      </c>
      <c r="Z59" s="8">
        <f t="shared" si="0"/>
        <v>3.5000000000000005E-3</v>
      </c>
      <c r="AA59">
        <v>0.3758333333333333</v>
      </c>
      <c r="AB59">
        <v>0.35000000000000003</v>
      </c>
      <c r="AC59">
        <v>0.32500000000000001</v>
      </c>
      <c r="AD59" s="7">
        <f t="shared" si="1"/>
        <v>-1.3396743303151729E-2</v>
      </c>
      <c r="AE59" s="7">
        <f t="shared" si="2"/>
        <v>-2.5614785237480588E-2</v>
      </c>
    </row>
    <row r="60" spans="1:31" x14ac:dyDescent="0.3">
      <c r="A60" s="2">
        <v>45597</v>
      </c>
      <c r="B60" s="4">
        <v>6032.3798828125</v>
      </c>
      <c r="C60" s="4">
        <v>6044.169921875</v>
      </c>
      <c r="D60" s="4">
        <v>5696.509765625</v>
      </c>
      <c r="E60" s="4">
        <v>5723.22021484375</v>
      </c>
      <c r="F60" s="1">
        <v>84101980000</v>
      </c>
      <c r="G60" s="3">
        <v>5.7301295482098821E-2</v>
      </c>
      <c r="H60" s="2">
        <v>45597</v>
      </c>
      <c r="I60" s="6">
        <v>24.067684173583899</v>
      </c>
      <c r="J60" s="6">
        <v>26.207239692565899</v>
      </c>
      <c r="K60" s="6">
        <v>22.479088826106199</v>
      </c>
      <c r="L60" s="6">
        <v>26.1521426245464</v>
      </c>
      <c r="M60" s="6">
        <v>1024980800</v>
      </c>
      <c r="N60" s="3">
        <v>-7.3851584296519113E-2</v>
      </c>
      <c r="O60" s="2">
        <v>45597</v>
      </c>
      <c r="P60">
        <v>4.42</v>
      </c>
      <c r="Q60">
        <v>4.33</v>
      </c>
      <c r="R60">
        <v>4.21</v>
      </c>
      <c r="S60">
        <v>4.2300000000000004</v>
      </c>
      <c r="T60">
        <v>4.3600000000000003</v>
      </c>
      <c r="U60">
        <v>4.63</v>
      </c>
      <c r="V60">
        <v>4.54</v>
      </c>
      <c r="W60">
        <v>5.6756673318925166E-3</v>
      </c>
      <c r="X60">
        <v>2.0829116137113424E-3</v>
      </c>
      <c r="Z60" s="8">
        <f t="shared" si="0"/>
        <v>3.6083333333333332E-3</v>
      </c>
      <c r="AA60">
        <v>0.36833333333333335</v>
      </c>
      <c r="AB60">
        <v>0.36083333333333334</v>
      </c>
      <c r="AC60">
        <v>0.35083333333333333</v>
      </c>
      <c r="AD60" s="7">
        <f t="shared" si="1"/>
        <v>5.369296214876549E-2</v>
      </c>
      <c r="AE60" s="7">
        <f t="shared" si="2"/>
        <v>-7.7459917629852451E-2</v>
      </c>
    </row>
    <row r="61" spans="1:31" x14ac:dyDescent="0.3">
      <c r="A61" s="2">
        <v>45627</v>
      </c>
      <c r="B61" s="4">
        <v>5881.6298828125</v>
      </c>
      <c r="C61" s="4">
        <v>6099.97021484375</v>
      </c>
      <c r="D61" s="4">
        <v>5832.2998046875</v>
      </c>
      <c r="E61" s="4">
        <v>6040.10986328125</v>
      </c>
      <c r="F61" s="1">
        <v>86064900000</v>
      </c>
      <c r="G61" s="3">
        <v>-2.4990137048483629E-2</v>
      </c>
      <c r="H61" s="2">
        <v>45627</v>
      </c>
      <c r="I61" s="6">
        <v>24.739927291870099</v>
      </c>
      <c r="J61" s="6">
        <v>25.038335470478099</v>
      </c>
      <c r="K61" s="6">
        <v>23.3691122757415</v>
      </c>
      <c r="L61" s="6">
        <v>24.310964201131199</v>
      </c>
      <c r="M61" s="6">
        <v>906524100</v>
      </c>
      <c r="N61" s="3">
        <v>2.79313586399824E-2</v>
      </c>
      <c r="O61" s="2">
        <v>45627</v>
      </c>
      <c r="P61">
        <v>4.2699999999999996</v>
      </c>
      <c r="Q61">
        <v>4.2300000000000004</v>
      </c>
      <c r="R61">
        <v>4.22</v>
      </c>
      <c r="S61">
        <v>4.25</v>
      </c>
      <c r="T61">
        <v>4.3899999999999997</v>
      </c>
      <c r="U61">
        <v>4.66</v>
      </c>
      <c r="V61">
        <v>4.58</v>
      </c>
      <c r="W61">
        <v>6.9938657689360599E-4</v>
      </c>
      <c r="X61">
        <v>1.3434061970056541E-3</v>
      </c>
      <c r="Z61" s="8">
        <f t="shared" si="0"/>
        <v>3.5250000000000004E-3</v>
      </c>
      <c r="AA61">
        <v>0.35583333333333328</v>
      </c>
      <c r="AB61">
        <v>0.35250000000000004</v>
      </c>
      <c r="AC61">
        <v>0.35166666666666663</v>
      </c>
      <c r="AD61" s="7">
        <f t="shared" si="1"/>
        <v>-2.851513704848363E-2</v>
      </c>
      <c r="AE61" s="7">
        <f t="shared" si="2"/>
        <v>2.44063586399824E-2</v>
      </c>
    </row>
    <row r="62" spans="1:31" x14ac:dyDescent="0.3">
      <c r="A62" s="2">
        <v>45658</v>
      </c>
      <c r="B62" s="4">
        <v>6040.52978515625</v>
      </c>
      <c r="C62" s="4">
        <v>6128.18017578125</v>
      </c>
      <c r="D62" s="4">
        <v>5773.31005859375</v>
      </c>
      <c r="E62" s="4">
        <v>5903.259765625</v>
      </c>
      <c r="F62" s="1">
        <v>88639380000</v>
      </c>
      <c r="G62" s="3">
        <v>2.7016304240444086E-2</v>
      </c>
      <c r="H62" s="2">
        <v>45658</v>
      </c>
      <c r="I62" s="6">
        <v>24.730602264404201</v>
      </c>
      <c r="J62" s="6">
        <v>25.709754340627899</v>
      </c>
      <c r="K62" s="6">
        <v>24.105809462068699</v>
      </c>
      <c r="L62" s="6">
        <v>24.945082924353699</v>
      </c>
      <c r="M62" s="6">
        <v>718268600</v>
      </c>
      <c r="N62" s="3">
        <v>-3.7692218557824187E-4</v>
      </c>
      <c r="O62" s="2">
        <v>45658</v>
      </c>
      <c r="P62">
        <v>4.21</v>
      </c>
      <c r="Q62">
        <v>4.18</v>
      </c>
      <c r="R62">
        <v>4.33</v>
      </c>
      <c r="S62">
        <v>4.43</v>
      </c>
      <c r="T62">
        <v>4.63</v>
      </c>
      <c r="U62">
        <v>4.92</v>
      </c>
      <c r="V62">
        <v>4.8499999999999996</v>
      </c>
      <c r="W62">
        <v>3.4683954326985795E-6</v>
      </c>
      <c r="X62">
        <v>2.3574332846883336E-4</v>
      </c>
      <c r="Z62" s="8">
        <f t="shared" si="0"/>
        <v>3.4833333333333331E-3</v>
      </c>
      <c r="AA62">
        <v>0.35083333333333333</v>
      </c>
      <c r="AB62">
        <v>0.34833333333333333</v>
      </c>
      <c r="AC62">
        <v>0.36083333333333334</v>
      </c>
      <c r="AD62" s="7">
        <f t="shared" si="1"/>
        <v>2.3532970907110755E-2</v>
      </c>
      <c r="AE62" s="7">
        <f t="shared" si="2"/>
        <v>-3.8602555189115751E-3</v>
      </c>
    </row>
    <row r="63" spans="1:31" x14ac:dyDescent="0.3">
      <c r="A63" s="2">
        <v>45689</v>
      </c>
      <c r="B63" s="4">
        <v>5954.5</v>
      </c>
      <c r="C63" s="4">
        <v>6147.43017578125</v>
      </c>
      <c r="D63" s="4">
        <v>5837.66015625</v>
      </c>
      <c r="E63" s="4">
        <v>5969.64990234375</v>
      </c>
      <c r="F63" s="1">
        <v>92317000000</v>
      </c>
      <c r="G63" s="3">
        <v>-1.4242092699825116E-2</v>
      </c>
      <c r="H63" s="2">
        <v>45689</v>
      </c>
      <c r="I63" s="6">
        <v>25.054136276245099</v>
      </c>
      <c r="J63" s="6">
        <v>25.622902494541201</v>
      </c>
      <c r="K63" s="6">
        <v>23.859727760240499</v>
      </c>
      <c r="L63" s="6">
        <v>24.930902661450901</v>
      </c>
      <c r="M63" s="6">
        <v>789050100</v>
      </c>
      <c r="N63" s="3">
        <v>1.3082334525535378E-2</v>
      </c>
      <c r="O63" s="2">
        <v>45689</v>
      </c>
      <c r="P63">
        <v>4.22</v>
      </c>
      <c r="Q63">
        <v>4.1900000000000004</v>
      </c>
      <c r="R63">
        <v>4.22</v>
      </c>
      <c r="S63">
        <v>4.28</v>
      </c>
      <c r="T63">
        <v>4.45</v>
      </c>
      <c r="U63">
        <v>4.7300000000000004</v>
      </c>
      <c r="V63">
        <v>4.68</v>
      </c>
      <c r="W63">
        <v>1.3448794692929114E-4</v>
      </c>
      <c r="X63">
        <v>6.7104113410000978E-4</v>
      </c>
      <c r="Z63" s="8">
        <f t="shared" si="0"/>
        <v>3.4916666666666668E-3</v>
      </c>
      <c r="AA63">
        <v>0.35166666666666663</v>
      </c>
      <c r="AB63">
        <v>0.34916666666666668</v>
      </c>
      <c r="AC63">
        <v>0.35166666666666663</v>
      </c>
      <c r="AD63" s="7">
        <f t="shared" si="1"/>
        <v>-1.7733759366491783E-2</v>
      </c>
      <c r="AE63" s="7">
        <f t="shared" si="2"/>
        <v>9.5906678588687112E-3</v>
      </c>
    </row>
    <row r="64" spans="1:31" x14ac:dyDescent="0.3">
      <c r="A64" s="2">
        <v>45717</v>
      </c>
      <c r="B64" s="4">
        <v>5611.85009765625</v>
      </c>
      <c r="C64" s="4">
        <v>5986.08984375</v>
      </c>
      <c r="D64" s="4">
        <v>5488.72998046875</v>
      </c>
      <c r="E64" s="4">
        <v>5968.330078125</v>
      </c>
      <c r="F64" s="1">
        <v>111387270000</v>
      </c>
      <c r="G64" s="3">
        <v>-5.7544697681375427E-2</v>
      </c>
      <c r="H64" s="2">
        <v>45717</v>
      </c>
      <c r="I64" s="6">
        <v>24.020877838134702</v>
      </c>
      <c r="J64" s="6">
        <v>25.821969331994001</v>
      </c>
      <c r="K64" s="6">
        <v>23.3288798223351</v>
      </c>
      <c r="L64" s="6">
        <v>24.997259863317101</v>
      </c>
      <c r="M64" s="6">
        <v>1211689800</v>
      </c>
      <c r="N64" s="3">
        <v>-4.1241032088185546E-2</v>
      </c>
      <c r="O64" s="2">
        <v>45717</v>
      </c>
      <c r="P64">
        <v>4.2</v>
      </c>
      <c r="Q64">
        <v>4.0599999999999996</v>
      </c>
      <c r="R64">
        <v>3.96</v>
      </c>
      <c r="S64">
        <v>4.04</v>
      </c>
      <c r="T64">
        <v>4.28</v>
      </c>
      <c r="U64">
        <v>4.63</v>
      </c>
      <c r="V64">
        <v>4.5999999999999996</v>
      </c>
      <c r="W64">
        <v>1.8255514749722197E-3</v>
      </c>
      <c r="X64">
        <v>4.7896180736772716E-3</v>
      </c>
      <c r="Z64" s="8">
        <f t="shared" si="0"/>
        <v>3.3833333333333332E-3</v>
      </c>
      <c r="AA64">
        <v>0.35000000000000003</v>
      </c>
      <c r="AB64">
        <v>0.33833333333333332</v>
      </c>
      <c r="AC64">
        <v>0.33</v>
      </c>
      <c r="AD64" s="7">
        <f t="shared" si="1"/>
        <v>-6.0928031014708763E-2</v>
      </c>
      <c r="AE64" s="7">
        <f t="shared" si="2"/>
        <v>-4.4624365421518881E-2</v>
      </c>
    </row>
    <row r="65" spans="1:31" x14ac:dyDescent="0.3">
      <c r="A65" s="2">
        <v>45748</v>
      </c>
      <c r="B65" s="4">
        <v>5569.06005859375</v>
      </c>
      <c r="C65" s="4">
        <v>5695.31005859375</v>
      </c>
      <c r="D65" s="4">
        <v>4835.0400390625</v>
      </c>
      <c r="E65" s="4">
        <v>5597.52978515625</v>
      </c>
      <c r="F65" s="1">
        <v>118936380000</v>
      </c>
      <c r="G65" s="3">
        <v>-7.6249433462898374E-3</v>
      </c>
      <c r="H65" s="2">
        <v>45748</v>
      </c>
      <c r="I65" s="6">
        <v>23.139289855956999</v>
      </c>
      <c r="J65" s="6">
        <v>24.030356834993398</v>
      </c>
      <c r="K65" s="6">
        <v>19.830968806963298</v>
      </c>
      <c r="L65" s="6">
        <v>23.973480757880701</v>
      </c>
      <c r="M65" s="6">
        <v>1215932100</v>
      </c>
      <c r="N65" s="3">
        <v>-3.6700906108357301E-2</v>
      </c>
      <c r="O65" s="2">
        <v>45748</v>
      </c>
      <c r="P65">
        <v>4.21</v>
      </c>
      <c r="Q65">
        <v>3.95</v>
      </c>
      <c r="R65">
        <v>3.78</v>
      </c>
      <c r="S65">
        <v>3.91</v>
      </c>
      <c r="T65">
        <v>4.28</v>
      </c>
      <c r="U65">
        <v>4.74</v>
      </c>
      <c r="V65">
        <v>4.71</v>
      </c>
      <c r="W65">
        <v>1.4581970808277243E-3</v>
      </c>
      <c r="X65">
        <v>3.7200041616018611E-4</v>
      </c>
      <c r="Z65" s="8">
        <f t="shared" si="0"/>
        <v>3.2916666666666667E-3</v>
      </c>
      <c r="AA65">
        <v>0.35083333333333333</v>
      </c>
      <c r="AB65">
        <v>0.32916666666666666</v>
      </c>
      <c r="AC65">
        <v>0.315</v>
      </c>
      <c r="AD65" s="7">
        <f t="shared" si="1"/>
        <v>-1.0916610012956504E-2</v>
      </c>
      <c r="AE65" s="7">
        <f t="shared" si="2"/>
        <v>-3.9992572775023966E-2</v>
      </c>
    </row>
    <row r="66" spans="1:31" x14ac:dyDescent="0.3">
      <c r="A66" s="2">
        <v>45778</v>
      </c>
      <c r="B66" s="4">
        <v>5911.68994140625</v>
      </c>
      <c r="C66" s="4">
        <v>5968.60986328125</v>
      </c>
      <c r="D66" s="4">
        <v>5578.64013671875</v>
      </c>
      <c r="E66" s="4">
        <v>5625.14013671875</v>
      </c>
      <c r="F66" s="1">
        <v>105346260000</v>
      </c>
      <c r="G66" s="3">
        <v>6.1523826140782882E-2</v>
      </c>
      <c r="H66" s="2">
        <v>45778</v>
      </c>
      <c r="I66" s="6">
        <v>22.2671813964843</v>
      </c>
      <c r="J66" s="6">
        <v>23.063453680562699</v>
      </c>
      <c r="K66" s="6">
        <v>20.8263075673846</v>
      </c>
      <c r="L66" s="6">
        <v>23.035014738967799</v>
      </c>
      <c r="M66" s="6">
        <v>962073700</v>
      </c>
      <c r="N66" s="3">
        <v>-3.7689508403309209E-2</v>
      </c>
      <c r="O66" s="2">
        <v>45778</v>
      </c>
      <c r="P66">
        <v>4.25</v>
      </c>
      <c r="Q66">
        <v>4.09</v>
      </c>
      <c r="R66">
        <v>3.9</v>
      </c>
      <c r="S66">
        <v>4.0199999999999996</v>
      </c>
      <c r="T66">
        <v>4.42</v>
      </c>
      <c r="U66">
        <v>4.92</v>
      </c>
      <c r="V66">
        <v>4.9000000000000004</v>
      </c>
      <c r="W66">
        <v>1.5346766354613942E-3</v>
      </c>
      <c r="X66">
        <v>2.4861649117778615E-3</v>
      </c>
      <c r="Z66" s="8">
        <f t="shared" si="0"/>
        <v>3.4083333333333331E-3</v>
      </c>
      <c r="AA66">
        <v>0.35416666666666669</v>
      </c>
      <c r="AB66">
        <v>0.34083333333333332</v>
      </c>
      <c r="AC66">
        <v>0.32500000000000001</v>
      </c>
      <c r="AD66" s="7">
        <f t="shared" si="1"/>
        <v>5.8115492807449549E-2</v>
      </c>
      <c r="AE66" s="7">
        <f t="shared" si="2"/>
        <v>-4.1097841736642542E-2</v>
      </c>
    </row>
    <row r="67" spans="1:31" x14ac:dyDescent="0.3">
      <c r="A67" s="2">
        <v>45809</v>
      </c>
      <c r="B67" s="4">
        <v>6204.9501953125</v>
      </c>
      <c r="C67" s="4">
        <v>6215.080078125</v>
      </c>
      <c r="D67" s="4">
        <v>5861.43017578125</v>
      </c>
      <c r="E67" s="4">
        <v>5896.68017578125</v>
      </c>
      <c r="F67" s="1">
        <v>106456300000</v>
      </c>
      <c r="G67" s="3">
        <v>4.960683946771579E-2</v>
      </c>
      <c r="H67" s="2">
        <v>45809</v>
      </c>
      <c r="I67" s="6">
        <v>23.416498184204102</v>
      </c>
      <c r="J67" s="6">
        <v>24.102378427304401</v>
      </c>
      <c r="K67" s="6">
        <v>22.2765858383124</v>
      </c>
      <c r="L67" s="6">
        <v>22.7402802763797</v>
      </c>
      <c r="M67" s="6">
        <v>750552000</v>
      </c>
      <c r="N67" s="3">
        <v>5.1614830240762459E-2</v>
      </c>
      <c r="O67" s="2">
        <v>45809</v>
      </c>
      <c r="P67">
        <v>4.2300000000000004</v>
      </c>
      <c r="Q67">
        <v>4.0599999999999996</v>
      </c>
      <c r="R67">
        <v>3.86</v>
      </c>
      <c r="S67">
        <v>3.96</v>
      </c>
      <c r="T67">
        <v>4.38</v>
      </c>
      <c r="U67">
        <v>4.9000000000000004</v>
      </c>
      <c r="V67">
        <v>4.8899999999999997</v>
      </c>
      <c r="W67">
        <v>2.512955698014247E-3</v>
      </c>
      <c r="X67">
        <v>1.4397828417964816E-3</v>
      </c>
      <c r="Z67" s="8">
        <f t="shared" ref="Z67:Z72" si="3">Q67/12/100</f>
        <v>3.3833333333333332E-3</v>
      </c>
      <c r="AA67">
        <v>0.35250000000000004</v>
      </c>
      <c r="AB67">
        <v>0.33833333333333332</v>
      </c>
      <c r="AC67">
        <v>0.32166666666666666</v>
      </c>
      <c r="AD67" s="7">
        <f t="shared" ref="AD67:AD72" si="4">G67-Z67</f>
        <v>4.6223506134382454E-2</v>
      </c>
      <c r="AE67" s="7">
        <f t="shared" ref="AE67:AE72" si="5">N67-Z67</f>
        <v>4.8231496907429124E-2</v>
      </c>
    </row>
    <row r="68" spans="1:31" x14ac:dyDescent="0.3">
      <c r="A68" s="2">
        <v>45839</v>
      </c>
      <c r="B68" s="4">
        <v>6339.39013671875</v>
      </c>
      <c r="C68" s="4">
        <v>6427.02001953125</v>
      </c>
      <c r="D68" s="4">
        <v>6177.97021484375</v>
      </c>
      <c r="E68" s="4">
        <v>6187.25</v>
      </c>
      <c r="F68" s="1">
        <v>114004890000</v>
      </c>
      <c r="G68" s="3">
        <v>2.1666562530640778E-2</v>
      </c>
      <c r="H68" s="2">
        <v>45839</v>
      </c>
      <c r="I68" s="6">
        <v>22.498773574829102</v>
      </c>
      <c r="J68" s="6">
        <v>25.165006930864902</v>
      </c>
      <c r="K68" s="6">
        <v>22.3538680259255</v>
      </c>
      <c r="L68" s="6">
        <v>23.455140247819202</v>
      </c>
      <c r="M68" s="6">
        <v>883499900</v>
      </c>
      <c r="N68" s="3">
        <v>-3.919136850248868E-2</v>
      </c>
      <c r="O68" s="2">
        <v>45839</v>
      </c>
      <c r="P68">
        <v>4.25</v>
      </c>
      <c r="Q68">
        <v>4.08</v>
      </c>
      <c r="R68">
        <v>3.84</v>
      </c>
      <c r="S68">
        <v>3.95</v>
      </c>
      <c r="T68">
        <v>4.3899999999999997</v>
      </c>
      <c r="U68">
        <v>4.92</v>
      </c>
      <c r="V68">
        <v>4.92</v>
      </c>
      <c r="W68">
        <v>1.6546028050417447E-3</v>
      </c>
      <c r="X68">
        <v>1.0008388891594931E-4</v>
      </c>
      <c r="Z68" s="8">
        <f t="shared" si="3"/>
        <v>3.4000000000000002E-3</v>
      </c>
      <c r="AA68">
        <v>0.35416666666666669</v>
      </c>
      <c r="AB68">
        <v>0.34</v>
      </c>
      <c r="AC68">
        <v>0.32</v>
      </c>
      <c r="AD68" s="7">
        <f t="shared" si="4"/>
        <v>1.8266562530640778E-2</v>
      </c>
      <c r="AE68" s="7">
        <f t="shared" si="5"/>
        <v>-4.259136850248868E-2</v>
      </c>
    </row>
    <row r="69" spans="1:31" x14ac:dyDescent="0.3">
      <c r="A69" s="2">
        <v>45870</v>
      </c>
      <c r="B69" s="4">
        <v>6460.259765625</v>
      </c>
      <c r="C69" s="4">
        <v>6508.22998046875</v>
      </c>
      <c r="D69" s="4">
        <v>6212.68994140625</v>
      </c>
      <c r="E69" s="4">
        <v>6287.27978515625</v>
      </c>
      <c r="F69" s="1">
        <v>99352030000</v>
      </c>
      <c r="G69" s="3">
        <v>1.9066444295036206E-2</v>
      </c>
      <c r="H69" s="2">
        <v>45870</v>
      </c>
      <c r="I69" s="6">
        <v>24.331558227538999</v>
      </c>
      <c r="J69" s="6">
        <v>25.658198477348702</v>
      </c>
      <c r="K69" s="6">
        <v>22.710109866369098</v>
      </c>
      <c r="L69" s="6">
        <v>22.896820795536598</v>
      </c>
      <c r="M69" s="6">
        <v>911246200</v>
      </c>
      <c r="N69" s="3">
        <v>8.1461535963913922E-2</v>
      </c>
      <c r="O69" s="2">
        <v>45870</v>
      </c>
      <c r="P69">
        <v>4.12</v>
      </c>
      <c r="Q69">
        <v>3.89</v>
      </c>
      <c r="R69">
        <v>3.67</v>
      </c>
      <c r="S69">
        <v>3.79</v>
      </c>
      <c r="T69">
        <v>4.26</v>
      </c>
      <c r="U69">
        <v>4.8499999999999996</v>
      </c>
      <c r="V69">
        <v>4.87</v>
      </c>
      <c r="W69">
        <v>6.3961758173076986E-3</v>
      </c>
      <c r="X69">
        <v>5.4820331505536719E-5</v>
      </c>
      <c r="Z69" s="8">
        <f t="shared" si="3"/>
        <v>3.2416666666666666E-3</v>
      </c>
      <c r="AA69">
        <v>0.34333333333333332</v>
      </c>
      <c r="AB69">
        <v>0.32416666666666666</v>
      </c>
      <c r="AC69">
        <v>0.30583333333333335</v>
      </c>
      <c r="AD69" s="7">
        <f t="shared" si="4"/>
        <v>1.5824777628369539E-2</v>
      </c>
      <c r="AE69" s="7">
        <f t="shared" si="5"/>
        <v>7.8219869297247252E-2</v>
      </c>
    </row>
    <row r="70" spans="1:31" x14ac:dyDescent="0.3">
      <c r="A70" s="2">
        <v>45901</v>
      </c>
      <c r="B70" s="4">
        <v>6688.4599609375</v>
      </c>
      <c r="C70" s="4">
        <v>6699.52001953125</v>
      </c>
      <c r="D70" s="4">
        <v>6360.580078125</v>
      </c>
      <c r="E70" s="4">
        <v>6401.509765625</v>
      </c>
      <c r="F70" s="1">
        <v>114074610000</v>
      </c>
      <c r="G70" s="3">
        <v>3.5323687218701598E-2</v>
      </c>
      <c r="H70" s="2">
        <v>45901</v>
      </c>
      <c r="I70" s="6">
        <v>25.039098739623999</v>
      </c>
      <c r="J70" s="6">
        <v>25.1865027948344</v>
      </c>
      <c r="K70" s="6">
        <v>23.171976333488601</v>
      </c>
      <c r="L70" s="6">
        <v>24.3020765892276</v>
      </c>
      <c r="M70" s="6">
        <v>1100895200</v>
      </c>
      <c r="N70" s="3">
        <v>2.9079128655401524E-2</v>
      </c>
      <c r="O70" s="2">
        <v>45901</v>
      </c>
      <c r="P70">
        <v>3.92</v>
      </c>
      <c r="Q70">
        <v>3.66</v>
      </c>
      <c r="R70">
        <v>3.55</v>
      </c>
      <c r="S70">
        <v>3.66</v>
      </c>
      <c r="T70">
        <v>4.12</v>
      </c>
      <c r="U70">
        <v>4.71</v>
      </c>
      <c r="V70">
        <v>4.74</v>
      </c>
      <c r="W70">
        <v>7.6141161623770597E-4</v>
      </c>
      <c r="X70">
        <v>5.5985798154349316E-4</v>
      </c>
      <c r="Z70" s="8">
        <f t="shared" si="3"/>
        <v>3.0499999999999998E-3</v>
      </c>
      <c r="AA70">
        <v>0.32666666666666666</v>
      </c>
      <c r="AB70">
        <v>0.30499999999999999</v>
      </c>
      <c r="AC70">
        <v>0.29583333333333334</v>
      </c>
      <c r="AD70" s="7">
        <f t="shared" si="4"/>
        <v>3.2273687218701601E-2</v>
      </c>
      <c r="AE70" s="7">
        <f t="shared" si="5"/>
        <v>2.6029128655401523E-2</v>
      </c>
    </row>
    <row r="71" spans="1:31" x14ac:dyDescent="0.3">
      <c r="A71" s="2">
        <v>45931</v>
      </c>
      <c r="B71" s="4">
        <v>6840.2001953125</v>
      </c>
      <c r="C71" s="4">
        <v>6920.33984375</v>
      </c>
      <c r="D71" s="4">
        <v>6550.77978515625</v>
      </c>
      <c r="E71" s="4">
        <v>6664.919921875</v>
      </c>
      <c r="F71" s="1">
        <v>129661660000</v>
      </c>
      <c r="G71" s="3">
        <v>2.2686871904923696E-2</v>
      </c>
      <c r="H71" s="2">
        <v>45931</v>
      </c>
      <c r="I71" s="6">
        <v>24.223461151123001</v>
      </c>
      <c r="J71" s="6">
        <v>27.210858522979301</v>
      </c>
      <c r="K71" s="6">
        <v>23.7321130471475</v>
      </c>
      <c r="L71" s="6">
        <v>25.5206198457232</v>
      </c>
      <c r="M71" s="6">
        <v>1410205800</v>
      </c>
      <c r="N71" s="3">
        <v>-3.2574558572679921E-2</v>
      </c>
      <c r="O71" s="2">
        <v>45931</v>
      </c>
      <c r="P71">
        <v>3.82</v>
      </c>
      <c r="Q71">
        <v>3.61</v>
      </c>
      <c r="R71">
        <v>3.53</v>
      </c>
      <c r="S71">
        <v>3.65</v>
      </c>
      <c r="T71">
        <v>4.0599999999999996</v>
      </c>
      <c r="U71">
        <v>4.6100000000000003</v>
      </c>
      <c r="V71">
        <v>4.6399999999999997</v>
      </c>
      <c r="W71">
        <v>1.1600835489026075E-3</v>
      </c>
      <c r="X71">
        <v>1.2153966509127534E-4</v>
      </c>
      <c r="Z71" s="8">
        <f t="shared" si="3"/>
        <v>3.0083333333333333E-3</v>
      </c>
      <c r="AA71">
        <v>0.3183333333333333</v>
      </c>
      <c r="AB71">
        <v>0.30083333333333334</v>
      </c>
      <c r="AC71">
        <v>0.29416666666666663</v>
      </c>
      <c r="AD71" s="7">
        <f t="shared" si="4"/>
        <v>1.9678538571590361E-2</v>
      </c>
      <c r="AE71" s="7">
        <f t="shared" si="5"/>
        <v>-3.5582891906013256E-2</v>
      </c>
    </row>
    <row r="72" spans="1:31" x14ac:dyDescent="0.3">
      <c r="A72" s="2">
        <v>45962</v>
      </c>
      <c r="B72" s="4">
        <v>6849.08984375</v>
      </c>
      <c r="C72" s="4">
        <v>6882.31982421875</v>
      </c>
      <c r="D72" s="4">
        <v>6521.919921875</v>
      </c>
      <c r="E72" s="4">
        <v>6882.31982421875</v>
      </c>
      <c r="F72" s="1">
        <v>100880170000</v>
      </c>
      <c r="G72" s="3">
        <v>1.2996181666717825E-3</v>
      </c>
      <c r="H72" s="2">
        <v>45962</v>
      </c>
      <c r="I72" s="6">
        <v>25.294599533081001</v>
      </c>
      <c r="J72" s="6">
        <v>26.021794483797699</v>
      </c>
      <c r="K72" s="6">
        <v>23.496265592625701</v>
      </c>
      <c r="L72" s="6">
        <v>24.1644992971611</v>
      </c>
      <c r="M72" s="6">
        <v>1760347600</v>
      </c>
      <c r="N72" s="3">
        <v>4.4219047611548386E-2</v>
      </c>
      <c r="O72" s="2">
        <v>45962</v>
      </c>
      <c r="P72">
        <v>3.78</v>
      </c>
      <c r="Q72">
        <v>3.66</v>
      </c>
      <c r="R72">
        <v>3.56</v>
      </c>
      <c r="S72">
        <v>3.67</v>
      </c>
      <c r="T72">
        <v>4.09</v>
      </c>
      <c r="U72">
        <v>4.67</v>
      </c>
      <c r="V72">
        <v>4.7</v>
      </c>
      <c r="W72">
        <v>1.8261611616184014E-3</v>
      </c>
      <c r="X72">
        <v>1.073866040904968E-4</v>
      </c>
      <c r="Z72" s="8">
        <f t="shared" si="3"/>
        <v>3.0499999999999998E-3</v>
      </c>
      <c r="AA72">
        <v>0.315</v>
      </c>
      <c r="AB72">
        <v>0.30499999999999999</v>
      </c>
      <c r="AC72">
        <v>0.29666666666666669</v>
      </c>
      <c r="AD72" s="7">
        <f t="shared" si="4"/>
        <v>-1.7503818333282173E-3</v>
      </c>
      <c r="AE72" s="7">
        <f t="shared" si="5"/>
        <v>4.1169047611548389E-2</v>
      </c>
    </row>
    <row r="75" spans="1:31" x14ac:dyDescent="0.3">
      <c r="F75" t="s">
        <v>65</v>
      </c>
      <c r="G75" s="7">
        <f>AVERAGE(G2:G72)</f>
        <v>1.1867179439039534E-2</v>
      </c>
      <c r="M75" t="s">
        <v>66</v>
      </c>
      <c r="N75" s="7">
        <f>AVERAGE(N2:N72)</f>
        <v>1.1753338653290181E-3</v>
      </c>
      <c r="V75" t="s">
        <v>67</v>
      </c>
      <c r="W75">
        <f>SUM(W2:W72)</f>
        <v>0.38019182488138881</v>
      </c>
      <c r="X75">
        <f>SUM(X2:X72)</f>
        <v>0.17355915369957381</v>
      </c>
    </row>
    <row r="76" spans="1:31" x14ac:dyDescent="0.3">
      <c r="F76" t="s">
        <v>69</v>
      </c>
      <c r="G76">
        <f>_xlfn.VAR.S(G2:G72)</f>
        <v>2.4793739348442766E-3</v>
      </c>
      <c r="M76" t="s">
        <v>70</v>
      </c>
      <c r="N76">
        <f>_xlfn.VAR.S(N2:N72)</f>
        <v>5.4312142439817091E-3</v>
      </c>
      <c r="V76" t="s">
        <v>68</v>
      </c>
      <c r="W76">
        <f>COUNT(W2:W72)-1</f>
        <v>70</v>
      </c>
      <c r="X76">
        <f>COUNT(X2:X72)-1</f>
        <v>70</v>
      </c>
    </row>
    <row r="77" spans="1:31" x14ac:dyDescent="0.3">
      <c r="F77" t="s">
        <v>71</v>
      </c>
      <c r="G77">
        <f>_xlfn.COVARIANCE.S(G2:G72,N2:N72)</f>
        <v>1.4647280725410092E-3</v>
      </c>
      <c r="V77" t="s">
        <v>70</v>
      </c>
      <c r="W77">
        <f>W75/W76</f>
        <v>5.4313117840198398E-3</v>
      </c>
      <c r="X77">
        <f>X75/X76</f>
        <v>2.479416481422483E-3</v>
      </c>
      <c r="AA77" t="s">
        <v>79</v>
      </c>
    </row>
    <row r="79" spans="1:31" x14ac:dyDescent="0.3">
      <c r="E79" s="4" t="s">
        <v>78</v>
      </c>
      <c r="F79" t="s">
        <v>72</v>
      </c>
      <c r="G79">
        <f>G77/G76</f>
        <v>0.59076529439800096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Clement</dc:creator>
  <cp:lastModifiedBy>Jacob Clement</cp:lastModifiedBy>
  <dcterms:created xsi:type="dcterms:W3CDTF">2025-12-05T17:53:52Z</dcterms:created>
  <dcterms:modified xsi:type="dcterms:W3CDTF">2025-12-08T00:11:03Z</dcterms:modified>
</cp:coreProperties>
</file>